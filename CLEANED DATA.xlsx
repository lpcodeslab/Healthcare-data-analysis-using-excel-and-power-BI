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mi priya\Desktop\"/>
    </mc:Choice>
  </mc:AlternateContent>
  <xr:revisionPtr revIDLastSave="0" documentId="13_ncr:1_{E7D6C4AD-6EC6-43CA-945D-4AA206F0C0C8}" xr6:coauthVersionLast="47" xr6:coauthVersionMax="47" xr10:uidLastSave="{00000000-0000-0000-0000-000000000000}"/>
  <bookViews>
    <workbookView xWindow="-110" yWindow="-110" windowWidth="19420" windowHeight="12220" activeTab="1" xr2:uid="{F3AEE479-F296-48C2-AAF0-898453773AD9}"/>
  </bookViews>
  <sheets>
    <sheet name="CLEANED DATA" sheetId="1" r:id="rId1"/>
    <sheet name="PIVOT TABLE" sheetId="3" r:id="rId2"/>
  </sheet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9" i="1" l="1" a="1"/>
  <c r="F419" i="1" s="1"/>
  <c r="F418" i="1" a="1"/>
  <c r="F418" i="1" s="1"/>
  <c r="F417" i="1" a="1"/>
  <c r="F417" i="1" s="1"/>
  <c r="F416" i="1" a="1"/>
  <c r="F416" i="1" s="1"/>
  <c r="F415" i="1" a="1"/>
  <c r="F415" i="1" s="1"/>
  <c r="F414" i="1" a="1"/>
  <c r="F414" i="1" s="1"/>
  <c r="F413" i="1" a="1"/>
  <c r="F413" i="1" s="1"/>
  <c r="F412" i="1"/>
  <c r="F412" i="1" a="1"/>
  <c r="F411" i="1" a="1"/>
  <c r="F411" i="1" s="1"/>
  <c r="F410" i="1" a="1"/>
  <c r="F410" i="1" s="1"/>
  <c r="F409" i="1" a="1"/>
  <c r="F409" i="1" s="1"/>
  <c r="F408" i="1" a="1"/>
  <c r="F408" i="1" s="1"/>
  <c r="F407" i="1" a="1"/>
  <c r="F407" i="1" s="1"/>
  <c r="F406" i="1" a="1"/>
  <c r="F406" i="1" s="1"/>
  <c r="F405" i="1" a="1"/>
  <c r="F405" i="1" s="1"/>
  <c r="F404" i="1" a="1"/>
  <c r="F404" i="1" s="1"/>
  <c r="F403" i="1"/>
  <c r="F403" i="1" a="1"/>
  <c r="F402" i="1" a="1"/>
  <c r="F402" i="1" s="1"/>
  <c r="F401" i="1" a="1"/>
  <c r="F401" i="1" s="1"/>
  <c r="F400" i="1" a="1"/>
  <c r="F400" i="1" s="1"/>
  <c r="F399" i="1" a="1"/>
  <c r="F399" i="1" s="1"/>
  <c r="F398" i="1"/>
  <c r="F398" i="1" a="1"/>
  <c r="F397" i="1" a="1"/>
  <c r="F397" i="1" s="1"/>
  <c r="F396" i="1" a="1"/>
  <c r="F396" i="1" s="1"/>
  <c r="F395" i="1" a="1"/>
  <c r="F395" i="1" s="1"/>
  <c r="F394" i="1"/>
  <c r="F394" i="1" a="1"/>
  <c r="F393" i="1" a="1"/>
  <c r="F393" i="1" s="1"/>
  <c r="F392" i="1" a="1"/>
  <c r="F392" i="1" s="1"/>
  <c r="F391" i="1" a="1"/>
  <c r="F391" i="1" s="1"/>
  <c r="F390" i="1" a="1"/>
  <c r="F390" i="1" s="1"/>
  <c r="F389" i="1" a="1"/>
  <c r="F389" i="1" s="1"/>
  <c r="F388" i="1" a="1"/>
  <c r="F388" i="1" s="1"/>
  <c r="F387" i="1" a="1"/>
  <c r="F387" i="1" s="1"/>
  <c r="F386" i="1" a="1"/>
  <c r="F386" i="1" s="1"/>
  <c r="F385" i="1"/>
  <c r="F385" i="1" a="1"/>
  <c r="F384" i="1" a="1"/>
  <c r="F384" i="1" s="1"/>
  <c r="F383" i="1" a="1"/>
  <c r="F383" i="1" s="1"/>
  <c r="F382" i="1" a="1"/>
  <c r="F382" i="1" s="1"/>
  <c r="F381" i="1" a="1"/>
  <c r="F381" i="1" s="1"/>
  <c r="F380" i="1"/>
  <c r="F380" i="1" a="1"/>
  <c r="F379" i="1" a="1"/>
  <c r="F379" i="1" s="1"/>
  <c r="F378" i="1" a="1"/>
  <c r="F378" i="1" s="1"/>
  <c r="F377" i="1"/>
  <c r="F377" i="1" a="1"/>
  <c r="F376" i="1"/>
  <c r="F376" i="1" a="1"/>
  <c r="F375" i="1" a="1"/>
  <c r="F375" i="1" s="1"/>
  <c r="F374" i="1" a="1"/>
  <c r="F374" i="1" s="1"/>
  <c r="F373" i="1" a="1"/>
  <c r="F373" i="1" s="1"/>
  <c r="F372" i="1" a="1"/>
  <c r="F372" i="1" s="1"/>
  <c r="F371" i="1" a="1"/>
  <c r="F371" i="1" s="1"/>
  <c r="F370" i="1" a="1"/>
  <c r="F370" i="1" s="1"/>
  <c r="F369" i="1"/>
  <c r="F369" i="1" a="1"/>
  <c r="F368" i="1" a="1"/>
  <c r="F368" i="1" s="1"/>
  <c r="F367" i="1"/>
  <c r="F367" i="1" a="1"/>
  <c r="F366" i="1" a="1"/>
  <c r="F366" i="1" s="1"/>
  <c r="F365" i="1" a="1"/>
  <c r="F365" i="1" s="1"/>
  <c r="F364" i="1" a="1"/>
  <c r="F364" i="1" s="1"/>
  <c r="F363" i="1" a="1"/>
  <c r="F363" i="1" s="1"/>
  <c r="F362" i="1" a="1"/>
  <c r="F362" i="1" s="1"/>
  <c r="F361" i="1" a="1"/>
  <c r="F361" i="1" s="1"/>
  <c r="F360" i="1" a="1"/>
  <c r="F360" i="1" s="1"/>
  <c r="F359" i="1" a="1"/>
  <c r="F359" i="1" s="1"/>
  <c r="F358" i="1"/>
  <c r="F358" i="1" a="1"/>
  <c r="F357" i="1" a="1"/>
  <c r="F357" i="1" s="1"/>
  <c r="F356" i="1" a="1"/>
  <c r="F356" i="1" s="1"/>
  <c r="F355" i="1" a="1"/>
  <c r="F355" i="1" s="1"/>
  <c r="F354" i="1" a="1"/>
  <c r="F354" i="1" s="1"/>
  <c r="F353" i="1" a="1"/>
  <c r="F353" i="1" s="1"/>
  <c r="F352" i="1" a="1"/>
  <c r="F352" i="1" s="1"/>
  <c r="F351" i="1" a="1"/>
  <c r="F351" i="1" s="1"/>
  <c r="F350" i="1" a="1"/>
  <c r="F350" i="1" s="1"/>
  <c r="F349" i="1"/>
  <c r="F349" i="1" a="1"/>
  <c r="F348" i="1" a="1"/>
  <c r="F348" i="1" s="1"/>
  <c r="F347" i="1" a="1"/>
  <c r="F347" i="1" s="1"/>
  <c r="F346" i="1" a="1"/>
  <c r="F346" i="1" s="1"/>
  <c r="F345" i="1" a="1"/>
  <c r="F345" i="1" s="1"/>
  <c r="F344" i="1"/>
  <c r="F344" i="1" a="1"/>
  <c r="F343" i="1" a="1"/>
  <c r="F343" i="1" s="1"/>
  <c r="F342" i="1" a="1"/>
  <c r="F342" i="1" s="1"/>
  <c r="F341" i="1" a="1"/>
  <c r="F341" i="1" s="1"/>
  <c r="F340" i="1"/>
  <c r="F340" i="1" a="1"/>
  <c r="F339" i="1" a="1"/>
  <c r="F339" i="1" s="1"/>
  <c r="F338" i="1" a="1"/>
  <c r="F338" i="1" s="1"/>
  <c r="F337" i="1" a="1"/>
  <c r="F337" i="1" s="1"/>
  <c r="F336" i="1" a="1"/>
  <c r="F336" i="1" s="1"/>
  <c r="F335" i="1" a="1"/>
  <c r="F335" i="1" s="1"/>
  <c r="F334" i="1" a="1"/>
  <c r="F334" i="1" s="1"/>
  <c r="F333" i="1" a="1"/>
  <c r="F333" i="1" s="1"/>
  <c r="F332" i="1" a="1"/>
  <c r="F332" i="1" s="1"/>
  <c r="F331" i="1"/>
  <c r="F331" i="1" a="1"/>
  <c r="F330" i="1" a="1"/>
  <c r="F330" i="1" s="1"/>
  <c r="F329" i="1" a="1"/>
  <c r="F329" i="1" s="1"/>
  <c r="F328" i="1" a="1"/>
  <c r="F328" i="1" s="1"/>
  <c r="F327" i="1" a="1"/>
  <c r="F327" i="1" s="1"/>
  <c r="F326" i="1" a="1"/>
  <c r="F326" i="1" s="1"/>
  <c r="F325" i="1" a="1"/>
  <c r="F325" i="1" s="1"/>
  <c r="F324" i="1" a="1"/>
  <c r="F324" i="1" s="1"/>
  <c r="F323" i="1"/>
  <c r="F323" i="1" a="1"/>
  <c r="F322" i="1"/>
  <c r="F322" i="1" a="1"/>
  <c r="F321" i="1" a="1"/>
  <c r="F321" i="1" s="1"/>
  <c r="F320" i="1" a="1"/>
  <c r="F320" i="1" s="1"/>
  <c r="F319" i="1" a="1"/>
  <c r="F319" i="1" s="1"/>
  <c r="F318" i="1" a="1"/>
  <c r="F318" i="1" s="1"/>
  <c r="F317" i="1" a="1"/>
  <c r="F317" i="1" s="1"/>
  <c r="F316" i="1" a="1"/>
  <c r="F316" i="1" s="1"/>
  <c r="F315" i="1" a="1"/>
  <c r="F315" i="1" s="1"/>
  <c r="F314" i="1" a="1"/>
  <c r="F314" i="1" s="1"/>
  <c r="F313" i="1"/>
  <c r="F313" i="1" a="1"/>
  <c r="F312" i="1" a="1"/>
  <c r="F312" i="1" s="1"/>
  <c r="F311" i="1" a="1"/>
  <c r="F311" i="1" s="1"/>
  <c r="F310" i="1" a="1"/>
  <c r="F310" i="1" s="1"/>
  <c r="F309" i="1" a="1"/>
  <c r="F309" i="1" s="1"/>
  <c r="F308" i="1" a="1"/>
  <c r="F308" i="1" s="1"/>
  <c r="F307" i="1"/>
  <c r="F307" i="1" a="1"/>
  <c r="F306" i="1" a="1"/>
  <c r="F306" i="1" s="1"/>
  <c r="F305" i="1" a="1"/>
  <c r="F305" i="1" s="1"/>
  <c r="F304" i="1"/>
  <c r="F304" i="1" a="1"/>
  <c r="F303" i="1" a="1"/>
  <c r="F303" i="1" s="1"/>
  <c r="F302" i="1" a="1"/>
  <c r="F302" i="1" s="1"/>
  <c r="F301" i="1" a="1"/>
  <c r="F301" i="1" s="1"/>
  <c r="F300" i="1" a="1"/>
  <c r="F300" i="1" s="1"/>
  <c r="F299" i="1" a="1"/>
  <c r="F299" i="1" s="1"/>
  <c r="F298" i="1" a="1"/>
  <c r="F298" i="1" s="1"/>
  <c r="F297" i="1" a="1"/>
  <c r="F297" i="1" s="1"/>
  <c r="F296" i="1" a="1"/>
  <c r="F296" i="1" s="1"/>
  <c r="F295" i="1"/>
  <c r="F295" i="1" a="1"/>
  <c r="F294" i="1" a="1"/>
  <c r="F294" i="1" s="1"/>
  <c r="F293" i="1" a="1"/>
  <c r="F293" i="1" s="1"/>
  <c r="F292" i="1" a="1"/>
  <c r="F292" i="1" s="1"/>
  <c r="F291" i="1" a="1"/>
  <c r="F291" i="1" s="1"/>
  <c r="F290" i="1"/>
  <c r="F290" i="1" a="1"/>
  <c r="F289" i="1" a="1"/>
  <c r="F289" i="1" s="1"/>
  <c r="F288" i="1" a="1"/>
  <c r="F288" i="1" s="1"/>
  <c r="F287" i="1" a="1"/>
  <c r="F287" i="1" s="1"/>
  <c r="F286" i="1"/>
  <c r="F286" i="1" a="1"/>
  <c r="F285" i="1" a="1"/>
  <c r="F285" i="1" s="1"/>
  <c r="F284" i="1" a="1"/>
  <c r="F284" i="1" s="1"/>
  <c r="F283" i="1" a="1"/>
  <c r="F283" i="1" s="1"/>
  <c r="F282" i="1" a="1"/>
  <c r="F282" i="1" s="1"/>
  <c r="F281" i="1" a="1"/>
  <c r="F281" i="1" s="1"/>
  <c r="F280" i="1" a="1"/>
  <c r="F280" i="1" s="1"/>
  <c r="F279" i="1" a="1"/>
  <c r="F279" i="1" s="1"/>
  <c r="F278" i="1" a="1"/>
  <c r="F278" i="1" s="1"/>
  <c r="F277" i="1"/>
  <c r="F277" i="1" a="1"/>
  <c r="F276" i="1" a="1"/>
  <c r="F276" i="1" s="1"/>
  <c r="F275" i="1" a="1"/>
  <c r="F275" i="1" s="1"/>
  <c r="F274" i="1" a="1"/>
  <c r="F274" i="1" s="1"/>
  <c r="F273" i="1" a="1"/>
  <c r="F273" i="1" s="1"/>
  <c r="F272" i="1" a="1"/>
  <c r="F272" i="1" s="1"/>
  <c r="F271" i="1" a="1"/>
  <c r="F271" i="1" s="1"/>
  <c r="F270" i="1"/>
  <c r="F270" i="1" a="1"/>
  <c r="F269" i="1"/>
  <c r="F269" i="1" a="1"/>
  <c r="F268" i="1"/>
  <c r="F268" i="1" a="1"/>
  <c r="F267" i="1" a="1"/>
  <c r="F267" i="1" s="1"/>
  <c r="F266" i="1" a="1"/>
  <c r="F266" i="1" s="1"/>
  <c r="F265" i="1" a="1"/>
  <c r="F265" i="1" s="1"/>
  <c r="F264" i="1" a="1"/>
  <c r="F264" i="1" s="1"/>
  <c r="F263" i="1" a="1"/>
  <c r="F263" i="1" s="1"/>
  <c r="F262" i="1" a="1"/>
  <c r="F262" i="1" s="1"/>
  <c r="F261" i="1" a="1"/>
  <c r="F261" i="1" s="1"/>
  <c r="F260" i="1" a="1"/>
  <c r="F260" i="1" s="1"/>
  <c r="F259" i="1"/>
  <c r="F259" i="1" a="1"/>
  <c r="F258" i="1" a="1"/>
  <c r="F258" i="1" s="1"/>
  <c r="F257" i="1" a="1"/>
  <c r="F257" i="1" s="1"/>
  <c r="F256" i="1" a="1"/>
  <c r="F256" i="1" s="1"/>
  <c r="F255" i="1" a="1"/>
  <c r="F255" i="1" s="1"/>
  <c r="F254" i="1" a="1"/>
  <c r="F254" i="1" s="1"/>
  <c r="F253" i="1" a="1"/>
  <c r="F253" i="1" s="1"/>
  <c r="F252" i="1" a="1"/>
  <c r="F252" i="1" s="1"/>
  <c r="F251" i="1" a="1"/>
  <c r="F251" i="1" s="1"/>
  <c r="F250" i="1"/>
  <c r="F250" i="1" a="1"/>
  <c r="F249" i="1" a="1"/>
  <c r="F249" i="1" s="1"/>
  <c r="F248" i="1" a="1"/>
  <c r="F248" i="1" s="1"/>
  <c r="F247" i="1" a="1"/>
  <c r="F247" i="1" s="1"/>
  <c r="F246" i="1" a="1"/>
  <c r="F246" i="1" s="1"/>
  <c r="F245" i="1" a="1"/>
  <c r="F245" i="1" s="1"/>
  <c r="F244" i="1" a="1"/>
  <c r="F244" i="1" s="1"/>
  <c r="F243" i="1" a="1"/>
  <c r="F243" i="1" s="1"/>
  <c r="F242" i="1" a="1"/>
  <c r="F242" i="1" s="1"/>
  <c r="F241" i="1"/>
  <c r="F241" i="1" a="1"/>
  <c r="F240" i="1" a="1"/>
  <c r="F240" i="1" s="1"/>
  <c r="F239" i="1" a="1"/>
  <c r="F239" i="1" s="1"/>
  <c r="F238" i="1" a="1"/>
  <c r="F238" i="1" s="1"/>
  <c r="F237" i="1" a="1"/>
  <c r="F237" i="1" s="1"/>
  <c r="F236" i="1"/>
  <c r="F236" i="1" a="1"/>
  <c r="F235" i="1" a="1"/>
  <c r="F235" i="1" s="1"/>
  <c r="F234" i="1" a="1"/>
  <c r="F234" i="1" s="1"/>
  <c r="F233" i="1" a="1"/>
  <c r="F233" i="1" s="1"/>
  <c r="F232" i="1"/>
  <c r="F232" i="1" a="1"/>
  <c r="F231" i="1" a="1"/>
  <c r="F231" i="1" s="1"/>
  <c r="F230" i="1" a="1"/>
  <c r="F230" i="1" s="1"/>
  <c r="F229" i="1" a="1"/>
  <c r="F229" i="1" s="1"/>
  <c r="F228" i="1" a="1"/>
  <c r="F228" i="1" s="1"/>
  <c r="F227" i="1" a="1"/>
  <c r="F227" i="1" s="1"/>
  <c r="F226" i="1" a="1"/>
  <c r="F226" i="1" s="1"/>
  <c r="F225" i="1" a="1"/>
  <c r="F225" i="1" s="1"/>
  <c r="F224" i="1" a="1"/>
  <c r="F224" i="1" s="1"/>
  <c r="F223" i="1"/>
  <c r="F223" i="1" a="1"/>
  <c r="F222" i="1" a="1"/>
  <c r="F222" i="1" s="1"/>
  <c r="F221" i="1" a="1"/>
  <c r="F221" i="1" s="1"/>
  <c r="F220" i="1" a="1"/>
  <c r="F220" i="1" s="1"/>
  <c r="F219" i="1" a="1"/>
  <c r="F219" i="1" s="1"/>
  <c r="F218" i="1" a="1"/>
  <c r="F218" i="1" s="1"/>
  <c r="F217" i="1" a="1"/>
  <c r="F217" i="1" s="1"/>
  <c r="F216" i="1" a="1"/>
  <c r="F216" i="1" s="1"/>
  <c r="F215" i="1"/>
  <c r="F215" i="1" a="1"/>
  <c r="F214" i="1"/>
  <c r="F214" i="1" a="1"/>
  <c r="F213" i="1" a="1"/>
  <c r="F213" i="1" s="1"/>
  <c r="F212" i="1" a="1"/>
  <c r="F212" i="1" s="1"/>
  <c r="F211" i="1" a="1"/>
  <c r="F211" i="1" s="1"/>
  <c r="F210" i="1" a="1"/>
  <c r="F210" i="1" s="1"/>
  <c r="F209" i="1" a="1"/>
  <c r="F209" i="1" s="1"/>
  <c r="F208" i="1" a="1"/>
  <c r="F208" i="1" s="1"/>
  <c r="F207" i="1" a="1"/>
  <c r="F207" i="1" s="1"/>
  <c r="F206" i="1" a="1"/>
  <c r="F206" i="1" s="1"/>
  <c r="F205" i="1"/>
  <c r="F205" i="1" a="1"/>
  <c r="F204" i="1" a="1"/>
  <c r="F204" i="1" s="1"/>
  <c r="F203" i="1" a="1"/>
  <c r="F203" i="1" s="1"/>
  <c r="F202" i="1" a="1"/>
  <c r="F202" i="1" s="1"/>
  <c r="F201" i="1" a="1"/>
  <c r="F201" i="1" s="1"/>
  <c r="F200" i="1" a="1"/>
  <c r="F200" i="1" s="1"/>
  <c r="F199" i="1" a="1"/>
  <c r="F199" i="1" s="1"/>
  <c r="F198" i="1"/>
  <c r="F198" i="1" a="1"/>
  <c r="F197" i="1" a="1"/>
  <c r="F197" i="1" s="1"/>
  <c r="F196" i="1"/>
  <c r="F196" i="1" a="1"/>
  <c r="F195" i="1" a="1"/>
  <c r="F195" i="1" s="1"/>
  <c r="F194" i="1" a="1"/>
  <c r="F194" i="1" s="1"/>
  <c r="F193" i="1" a="1"/>
  <c r="F193" i="1" s="1"/>
  <c r="F192" i="1" a="1"/>
  <c r="F192" i="1" s="1"/>
  <c r="F191" i="1" a="1"/>
  <c r="F191" i="1" s="1"/>
  <c r="F190" i="1" a="1"/>
  <c r="F190" i="1" s="1"/>
  <c r="F189" i="1" a="1"/>
  <c r="F189" i="1" s="1"/>
  <c r="F188" i="1" a="1"/>
  <c r="F188" i="1" s="1"/>
  <c r="F187" i="1"/>
  <c r="F187" i="1" a="1"/>
  <c r="F186" i="1" a="1"/>
  <c r="F186" i="1" s="1"/>
  <c r="F185" i="1" a="1"/>
  <c r="F185" i="1" s="1"/>
  <c r="F184" i="1" a="1"/>
  <c r="F184" i="1" s="1"/>
  <c r="F183" i="1" a="1"/>
  <c r="F183" i="1" s="1"/>
  <c r="F182" i="1"/>
  <c r="F182" i="1" a="1"/>
  <c r="F181" i="1" a="1"/>
  <c r="F181" i="1" s="1"/>
  <c r="F180" i="1" a="1"/>
  <c r="F180" i="1" s="1"/>
  <c r="F179" i="1" a="1"/>
  <c r="F179" i="1" s="1"/>
  <c r="F178" i="1"/>
  <c r="F178" i="1" a="1"/>
  <c r="F177" i="1" a="1"/>
  <c r="F177" i="1" s="1"/>
  <c r="F176" i="1" a="1"/>
  <c r="F176" i="1" s="1"/>
  <c r="F175" i="1" a="1"/>
  <c r="F175" i="1" s="1"/>
  <c r="F174" i="1" a="1"/>
  <c r="F174" i="1" s="1"/>
  <c r="F173" i="1" a="1"/>
  <c r="F173" i="1" s="1"/>
  <c r="F172" i="1" a="1"/>
  <c r="F172" i="1" s="1"/>
  <c r="F171" i="1" a="1"/>
  <c r="F171" i="1" s="1"/>
  <c r="F170" i="1" a="1"/>
  <c r="F170" i="1" s="1"/>
  <c r="F169" i="1"/>
  <c r="F169" i="1" a="1"/>
  <c r="F168" i="1" a="1"/>
  <c r="F168" i="1" s="1"/>
  <c r="F167" i="1" a="1"/>
  <c r="F167" i="1" s="1"/>
  <c r="F166" i="1" a="1"/>
  <c r="F166" i="1" s="1"/>
  <c r="F165" i="1" a="1"/>
  <c r="F165" i="1" s="1"/>
  <c r="F164" i="1" a="1"/>
  <c r="F164" i="1" s="1"/>
  <c r="F163" i="1" a="1"/>
  <c r="F163" i="1" s="1"/>
  <c r="F162" i="1" a="1"/>
  <c r="F162" i="1" s="1"/>
  <c r="F161" i="1"/>
  <c r="F161" i="1" a="1"/>
  <c r="F160" i="1"/>
  <c r="F160" i="1" a="1"/>
  <c r="F159" i="1" a="1"/>
  <c r="F159" i="1" s="1"/>
  <c r="F158" i="1" a="1"/>
  <c r="F158" i="1" s="1"/>
  <c r="F157" i="1" a="1"/>
  <c r="F157" i="1" s="1"/>
  <c r="F156" i="1" a="1"/>
  <c r="F156" i="1" s="1"/>
  <c r="F155" i="1" a="1"/>
  <c r="F155" i="1" s="1"/>
  <c r="F154" i="1" a="1"/>
  <c r="F154" i="1" s="1"/>
  <c r="F153" i="1" a="1"/>
  <c r="F153" i="1" s="1"/>
  <c r="F152" i="1" a="1"/>
  <c r="F152" i="1" s="1"/>
  <c r="F151" i="1"/>
  <c r="F151" i="1" a="1"/>
  <c r="F150" i="1" a="1"/>
  <c r="F150" i="1" s="1"/>
  <c r="F149" i="1" a="1"/>
  <c r="F149" i="1" s="1"/>
  <c r="F148" i="1" a="1"/>
  <c r="F148" i="1" s="1"/>
  <c r="F147" i="1" a="1"/>
  <c r="F147" i="1" s="1"/>
  <c r="F146" i="1" a="1"/>
  <c r="F146" i="1" s="1"/>
  <c r="F145" i="1" a="1"/>
  <c r="F145" i="1" s="1"/>
  <c r="F144" i="1" a="1"/>
  <c r="F144" i="1" s="1"/>
  <c r="F143" i="1" a="1"/>
  <c r="F143" i="1" s="1"/>
  <c r="F142" i="1"/>
  <c r="F142" i="1" a="1"/>
  <c r="F141" i="1" a="1"/>
  <c r="F141" i="1" s="1"/>
  <c r="F140" i="1" a="1"/>
  <c r="F140" i="1" s="1"/>
  <c r="F139" i="1" a="1"/>
  <c r="F139" i="1" s="1"/>
  <c r="F138" i="1" a="1"/>
  <c r="F138" i="1" s="1"/>
  <c r="F137" i="1" a="1"/>
  <c r="F137" i="1" s="1"/>
  <c r="F136" i="1" a="1"/>
  <c r="F136" i="1" s="1"/>
  <c r="F135" i="1" a="1"/>
  <c r="F135" i="1" s="1"/>
  <c r="F134" i="1" a="1"/>
  <c r="F134" i="1" s="1"/>
  <c r="F133" i="1"/>
  <c r="F133" i="1" a="1"/>
  <c r="F132" i="1" a="1"/>
  <c r="F132" i="1" s="1"/>
  <c r="F131" i="1" a="1"/>
  <c r="F131" i="1" s="1"/>
  <c r="F130" i="1" a="1"/>
  <c r="F130" i="1" s="1"/>
  <c r="F129" i="1" a="1"/>
  <c r="F129" i="1" s="1"/>
  <c r="F128" i="1"/>
  <c r="F128" i="1" a="1"/>
  <c r="F127" i="1" a="1"/>
  <c r="F127" i="1" s="1"/>
  <c r="F126" i="1" a="1"/>
  <c r="F126" i="1" s="1"/>
  <c r="F125" i="1" a="1"/>
  <c r="F125" i="1" s="1"/>
  <c r="F124" i="1"/>
  <c r="F124" i="1" a="1"/>
  <c r="F123" i="1" a="1"/>
  <c r="F123" i="1" s="1"/>
  <c r="F122" i="1" a="1"/>
  <c r="F122" i="1" s="1"/>
  <c r="F121" i="1" a="1"/>
  <c r="F121" i="1" s="1"/>
  <c r="F120" i="1" a="1"/>
  <c r="F120" i="1" s="1"/>
  <c r="F119" i="1" a="1"/>
  <c r="F119" i="1" s="1"/>
  <c r="F118" i="1" a="1"/>
  <c r="F118" i="1" s="1"/>
  <c r="F117" i="1" a="1"/>
  <c r="F117" i="1" s="1"/>
  <c r="F116" i="1" a="1"/>
  <c r="F116" i="1" s="1"/>
  <c r="F115" i="1"/>
  <c r="F115" i="1" a="1"/>
  <c r="F114" i="1" a="1"/>
  <c r="F114" i="1" s="1"/>
  <c r="F113" i="1" a="1"/>
  <c r="F113" i="1" s="1"/>
  <c r="F112" i="1" a="1"/>
  <c r="F112" i="1" s="1"/>
  <c r="F111" i="1"/>
  <c r="F111" i="1" a="1"/>
  <c r="F110" i="1" a="1"/>
  <c r="F110" i="1" s="1"/>
  <c r="F109" i="1" a="1"/>
  <c r="F109" i="1" s="1"/>
  <c r="F108" i="1" a="1"/>
  <c r="F108" i="1" s="1"/>
  <c r="F107" i="1"/>
  <c r="F107" i="1" a="1"/>
  <c r="F106" i="1"/>
  <c r="F106" i="1" a="1"/>
  <c r="F105" i="1" a="1"/>
  <c r="F105" i="1" s="1"/>
  <c r="F104" i="1" a="1"/>
  <c r="F104" i="1" s="1"/>
  <c r="F103" i="1" a="1"/>
  <c r="F103" i="1" s="1"/>
  <c r="F102" i="1" a="1"/>
  <c r="F102" i="1" s="1"/>
  <c r="F101" i="1" a="1"/>
  <c r="F101" i="1" s="1"/>
  <c r="F100" i="1" a="1"/>
  <c r="F100" i="1" s="1"/>
  <c r="F99" i="1" a="1"/>
  <c r="F99" i="1" s="1"/>
  <c r="F98" i="1" a="1"/>
  <c r="F98" i="1" s="1"/>
  <c r="F97" i="1"/>
  <c r="F97" i="1" a="1"/>
  <c r="F96" i="1" a="1"/>
  <c r="F96" i="1" s="1"/>
  <c r="F95" i="1" a="1"/>
  <c r="F95" i="1" s="1"/>
  <c r="F94" i="1" a="1"/>
  <c r="F94" i="1" s="1"/>
  <c r="F93" i="1" a="1"/>
  <c r="F93" i="1" s="1"/>
  <c r="F92" i="1" a="1"/>
  <c r="F92" i="1" s="1"/>
  <c r="F91" i="1" a="1"/>
  <c r="F91" i="1" s="1"/>
  <c r="F90" i="1" a="1"/>
  <c r="F90" i="1" s="1"/>
  <c r="F89" i="1"/>
  <c r="F89" i="1" a="1"/>
  <c r="F88" i="1"/>
  <c r="F88" i="1" a="1"/>
  <c r="F87" i="1" a="1"/>
  <c r="F87" i="1" s="1"/>
  <c r="F86" i="1" a="1"/>
  <c r="F86" i="1" s="1"/>
  <c r="F85" i="1" a="1"/>
  <c r="F85" i="1" s="1"/>
  <c r="F84" i="1" a="1"/>
  <c r="F84" i="1" s="1"/>
  <c r="F83" i="1" a="1"/>
  <c r="F83" i="1" s="1"/>
  <c r="F82" i="1" a="1"/>
  <c r="F82" i="1" s="1"/>
  <c r="F81" i="1" a="1"/>
  <c r="F81" i="1" s="1"/>
  <c r="F80" i="1" a="1"/>
  <c r="F80" i="1" s="1"/>
  <c r="F79" i="1"/>
  <c r="F79" i="1" a="1"/>
  <c r="F78" i="1" a="1"/>
  <c r="F78" i="1" s="1"/>
  <c r="F77" i="1" a="1"/>
  <c r="F77" i="1" s="1"/>
  <c r="F76" i="1" a="1"/>
  <c r="F76" i="1" s="1"/>
  <c r="F75" i="1" a="1"/>
  <c r="F75" i="1" s="1"/>
  <c r="F74" i="1"/>
  <c r="F74" i="1" a="1"/>
  <c r="F73" i="1" a="1"/>
  <c r="F73" i="1" s="1"/>
  <c r="F72" i="1" a="1"/>
  <c r="F72" i="1" s="1"/>
  <c r="F71" i="1" a="1"/>
  <c r="F71" i="1" s="1"/>
  <c r="F70" i="1"/>
  <c r="F70" i="1" a="1"/>
  <c r="F69" i="1" a="1"/>
  <c r="F69" i="1" s="1"/>
  <c r="F68" i="1" a="1"/>
  <c r="F68" i="1" s="1"/>
  <c r="F67" i="1" a="1"/>
  <c r="F67" i="1" s="1"/>
  <c r="F66" i="1" a="1"/>
  <c r="F66" i="1" s="1"/>
  <c r="F65" i="1" a="1"/>
  <c r="F65" i="1" s="1"/>
  <c r="F64" i="1"/>
  <c r="F64" i="1" a="1"/>
  <c r="F63" i="1" a="1"/>
  <c r="F63" i="1" s="1"/>
  <c r="F62" i="1" a="1"/>
  <c r="F62" i="1" s="1"/>
  <c r="F61" i="1"/>
  <c r="F61" i="1" a="1"/>
  <c r="F60" i="1" a="1"/>
  <c r="F60" i="1" s="1"/>
  <c r="F59" i="1" a="1"/>
  <c r="F59" i="1" s="1"/>
  <c r="F58" i="1" a="1"/>
  <c r="F58" i="1" s="1"/>
  <c r="F57" i="1" a="1"/>
  <c r="F57" i="1" s="1"/>
  <c r="F56" i="1" a="1"/>
  <c r="F56" i="1" s="1"/>
  <c r="F55" i="1" a="1"/>
  <c r="F55" i="1" s="1"/>
  <c r="F54" i="1"/>
  <c r="F54" i="1" a="1"/>
  <c r="F53" i="1" a="1"/>
  <c r="F53" i="1" s="1"/>
  <c r="F52" i="1"/>
  <c r="F52" i="1" a="1"/>
  <c r="F51" i="1" a="1"/>
  <c r="F51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F45" i="1" a="1"/>
  <c r="F45" i="1" s="1"/>
  <c r="F44" i="1"/>
  <c r="F44" i="1" a="1"/>
  <c r="F43" i="1"/>
  <c r="F43" i="1" a="1"/>
  <c r="F42" i="1" a="1"/>
  <c r="F42" i="1" s="1"/>
  <c r="F41" i="1" a="1"/>
  <c r="F41" i="1" s="1"/>
  <c r="F40" i="1" a="1"/>
  <c r="F40" i="1" s="1"/>
  <c r="F39" i="1" a="1"/>
  <c r="F39" i="1" s="1"/>
  <c r="F38" i="1" a="1"/>
  <c r="F38" i="1" s="1"/>
  <c r="F37" i="1" a="1"/>
  <c r="F37" i="1" s="1"/>
  <c r="F36" i="1" a="1"/>
  <c r="F36" i="1" s="1"/>
  <c r="F35" i="1" a="1"/>
  <c r="F35" i="1" s="1"/>
  <c r="F34" i="1"/>
  <c r="F34" i="1" a="1"/>
  <c r="F33" i="1" a="1"/>
  <c r="F33" i="1" s="1"/>
  <c r="F32" i="1" a="1"/>
  <c r="F32" i="1" s="1"/>
  <c r="F31" i="1" a="1"/>
  <c r="F31" i="1" s="1"/>
  <c r="F30" i="1" a="1"/>
  <c r="F30" i="1" s="1"/>
  <c r="F29" i="1" a="1"/>
  <c r="F29" i="1" s="1"/>
  <c r="F28" i="1" a="1"/>
  <c r="F28" i="1" s="1"/>
  <c r="F27" i="1" a="1"/>
  <c r="F27" i="1" s="1"/>
  <c r="F26" i="1" a="1"/>
  <c r="F26" i="1" s="1"/>
  <c r="F25" i="1"/>
  <c r="F25" i="1" a="1"/>
  <c r="F24" i="1" a="1"/>
  <c r="F24" i="1" s="1"/>
  <c r="F23" i="1" a="1"/>
  <c r="F23" i="1" s="1"/>
  <c r="F22" i="1" a="1"/>
  <c r="F22" i="1" s="1"/>
  <c r="F21" i="1" a="1"/>
  <c r="F21" i="1" s="1"/>
  <c r="F20" i="1" a="1"/>
  <c r="F20" i="1" s="1"/>
  <c r="F19" i="1" a="1"/>
  <c r="F19" i="1" s="1"/>
  <c r="F18" i="1" a="1"/>
  <c r="F18" i="1" s="1"/>
  <c r="F17" i="1" a="1"/>
  <c r="F17" i="1" s="1"/>
  <c r="F16" i="1"/>
  <c r="F16" i="1" a="1"/>
  <c r="F15" i="1" a="1"/>
  <c r="F15" i="1" s="1"/>
  <c r="F14" i="1" a="1"/>
  <c r="F14" i="1" s="1"/>
  <c r="F13" i="1"/>
  <c r="F13" i="1" a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/>
  <c r="F7" i="1" a="1"/>
  <c r="F6" i="1" a="1"/>
  <c r="F6" i="1" s="1"/>
  <c r="F5" i="1" a="1"/>
  <c r="F5" i="1" s="1"/>
  <c r="F4" i="1" a="1"/>
  <c r="F4" i="1" s="1"/>
  <c r="F3" i="1"/>
  <c r="F3" i="1" a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<sst xmlns="http://schemas.openxmlformats.org/spreadsheetml/2006/main" count="3061" uniqueCount="68">
  <si>
    <t>ID</t>
  </si>
  <si>
    <t>N_Days</t>
  </si>
  <si>
    <t>Status</t>
  </si>
  <si>
    <t>Drug</t>
  </si>
  <si>
    <t>Age_years</t>
  </si>
  <si>
    <t>Age_category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</si>
  <si>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</si>
  <si>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</si>
  <si>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</si>
  <si>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</si>
  <si>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</si>
  <si>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</si>
  <si>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</si>
  <si>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</si>
  <si>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</si>
  <si>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</si>
  <si>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</si>
  <si>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</si>
  <si>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</si>
  <si>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</si>
  <si>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Stage</t>
  </si>
  <si>
    <t>D-penicillamine</t>
  </si>
  <si>
    <t>Middle Adulthood</t>
  </si>
  <si>
    <t>Female</t>
  </si>
  <si>
    <t>Older Adulthood</t>
  </si>
  <si>
    <t>Male</t>
  </si>
  <si>
    <t>Placebo</t>
  </si>
  <si>
    <t>Young Adulthood</t>
  </si>
  <si>
    <t>Unknown</t>
  </si>
  <si>
    <t>I.</t>
  </si>
  <si>
    <t>Count of ID</t>
  </si>
  <si>
    <t>Patient status</t>
  </si>
  <si>
    <t>Age category</t>
  </si>
  <si>
    <t>Grand Total</t>
  </si>
  <si>
    <t>Gender v/s patient status</t>
  </si>
  <si>
    <t>Gender</t>
  </si>
  <si>
    <t>II.</t>
  </si>
  <si>
    <t>Average of Bilirubin</t>
  </si>
  <si>
    <t>Average of Cholesterol</t>
  </si>
  <si>
    <t>Average of Albumin</t>
  </si>
  <si>
    <t>Average of Copper</t>
  </si>
  <si>
    <t>Average of Alk_Phos</t>
  </si>
  <si>
    <t>Average of SGOT</t>
  </si>
  <si>
    <t>Average of Tryglicerides</t>
  </si>
  <si>
    <t>Average of Platelets</t>
  </si>
  <si>
    <t>Average of Prothrombin</t>
  </si>
  <si>
    <t>III.</t>
  </si>
  <si>
    <t>IV.</t>
  </si>
  <si>
    <t>Treatment</t>
  </si>
  <si>
    <t>Death</t>
  </si>
  <si>
    <t>Present</t>
  </si>
  <si>
    <t>Edema refractory to diuretics</t>
  </si>
  <si>
    <t>Censored</t>
  </si>
  <si>
    <t>Absent</t>
  </si>
  <si>
    <t>No edema</t>
  </si>
  <si>
    <t>Edema present/controlled</t>
  </si>
  <si>
    <t>Censored due to liver transplant</t>
  </si>
  <si>
    <t>PIVOT TABLE</t>
  </si>
  <si>
    <t>Demographic characters v/s Patient Status</t>
  </si>
  <si>
    <t>Age category v/s patient status</t>
  </si>
  <si>
    <t>Clinical Factors vs Patient Status</t>
  </si>
  <si>
    <t>Ascites v/s patient status</t>
  </si>
  <si>
    <t>Hepatomegaly v/s patient status</t>
  </si>
  <si>
    <t>Spiders v/s patient status</t>
  </si>
  <si>
    <t>Edema v/s patient status</t>
  </si>
  <si>
    <t>Laboratory Measurements</t>
  </si>
  <si>
    <t xml:space="preserve"> Stage vs Patient Status </t>
  </si>
  <si>
    <t xml:space="preserve">Treatment vs Patient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</si>
</sst>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Cambria"/>
      <family val="1"/>
    </font>
    <font>
      <sz val="22"/>
      <color theme="1"/>
      <name val="Cambria"/>
      <family val="1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2" applyNumberFormat="0" applyFont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2" fillId="2" borderId="2" xfId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pivotButton="1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369"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irrhosis_mini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i priya" refreshedDate="46273.011201388887" createdVersion="8" refreshedVersion="8" minRefreshableVersion="3" recordCount="418" xr:uid="{FBD68D59-816A-4D35-BE31-BD650E1C159A}">
  <cacheSource type="worksheet">
    <worksheetSource ref="A1:U419" sheet="Cirrhosis_CLEANED" r:id="rId2"/>
  </cacheSource>
  <cacheFields count="21">
    <cacheField name="ID" numFmtId="0">
      <sharedItems containsSemiMixedTypes="0" containsString="0" containsNumber="1" containsInteger="1" minValue="1" maxValue="418"/>
    </cacheField>
    <cacheField name="N_Days" numFmtId="0">
      <sharedItems containsSemiMixedTypes="0" containsString="0" containsNumber="1" containsInteger="1" minValue="41" maxValue="4795"/>
    </cacheField>
    <cacheField name="Status" numFmtId="0">
      <sharedItems count="3">
        <s v="Death"/>
        <s v="Censored"/>
        <s v="Censored due to liver transplant"/>
      </sharedItems>
    </cacheField>
    <cacheField name="Drug" numFmtId="0">
      <sharedItems count="3">
        <s v="D-penicillamine"/>
        <s v="Placebo"/>
        <s v="Unknown"/>
      </sharedItems>
    </cacheField>
    <cacheField name="Age_years" numFmtId="1">
      <sharedItems containsSemiMixedTypes="0" containsString="0" containsNumber="1" minValue="26.277891854893909" maxValue="78.439425051334709"/>
    </cacheField>
    <cacheField name="Age_category" numFmtId="1">
      <sharedItems count="3">
        <s v="Middle Adulthood"/>
        <s v="Older Adulthood"/>
        <s v="Young Adulthood"/>
      </sharedItems>
    </cacheField>
    <cacheField name="Sex" numFmtId="0">
      <sharedItems count="2">
        <s v="Female"/>
        <s v="Male"/>
      </sharedItems>
    </cacheField>
    <cacheField name="Ascites" numFmtId="0">
      <sharedItems count="3">
        <s v="Present"/>
        <s v="Absent"/>
        <s v="Unknown"/>
      </sharedItems>
    </cacheField>
    <cacheField name="Hepatomegaly" numFmtId="0">
      <sharedItems count="3">
        <s v="Present"/>
        <s v="Absent"/>
        <s v="Unknown"/>
      </sharedItems>
    </cacheField>
    <cacheField name="Spiders" numFmtId="0">
      <sharedItems count="3">
        <s v="Present"/>
        <s v="Absent"/>
        <s v="Unknown"/>
      </sharedItems>
    </cacheField>
    <cacheField name="Edema" numFmtId="0">
      <sharedItems count="3">
        <s v="Edema refractory to diuretics"/>
        <s v="No edema"/>
        <s v="Edema present/controlled"/>
      </sharedItems>
    </cacheField>
    <cacheField name="Bilirubin" numFmtId="0">
      <sharedItems containsSemiMixedTypes="0" containsString="0" containsNumber="1" minValue="0.3" maxValue="28"/>
    </cacheField>
    <cacheField name="Cholesterol" numFmtId="0">
      <sharedItems containsSemiMixedTypes="0" containsString="0" containsNumber="1" minValue="120" maxValue="1775"/>
    </cacheField>
    <cacheField name="Albumin" numFmtId="0">
      <sharedItems containsSemiMixedTypes="0" containsString="0" containsNumber="1" minValue="1.96" maxValue="4.6399999999999997"/>
    </cacheField>
    <cacheField name="Copper" numFmtId="0">
      <sharedItems containsSemiMixedTypes="0" containsString="0" containsNumber="1" containsInteger="1" minValue="4" maxValue="588"/>
    </cacheField>
    <cacheField name="Alk_Phos" numFmtId="0">
      <sharedItems containsSemiMixedTypes="0" containsString="0" containsNumber="1" minValue="289" maxValue="13862.4"/>
    </cacheField>
    <cacheField name="SGOT" numFmtId="0">
      <sharedItems containsSemiMixedTypes="0" containsString="0" containsNumber="1" minValue="26.35" maxValue="457.25"/>
    </cacheField>
    <cacheField name="Tryglicerides" numFmtId="0">
      <sharedItems containsSemiMixedTypes="0" containsString="0" containsNumber="1" containsInteger="1" minValue="33" maxValue="598"/>
    </cacheField>
    <cacheField name="Platelets" numFmtId="0">
      <sharedItems containsSemiMixedTypes="0" containsString="0" containsNumber="1" containsInteger="1" minValue="62" maxValue="721"/>
    </cacheField>
    <cacheField name="Prothrombin" numFmtId="0">
      <sharedItems containsSemiMixedTypes="0" containsString="0" containsNumber="1" minValue="9" maxValue="18"/>
    </cacheField>
    <cacheField name="Stage" numFmtId="0">
      <sharedItems containsSemiMixedTypes="0" containsString="0" containsNumber="1" containsInteger="1" minValue="1" maxValue="4" count="4"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n v="1"/>
    <n v="400"/>
    <x v="0"/>
    <x v="0"/>
    <n v="58.765229295003422"/>
    <x v="0"/>
    <x v="0"/>
    <x v="0"/>
    <x v="0"/>
    <x v="0"/>
    <x v="0"/>
    <n v="14.5"/>
    <n v="261"/>
    <n v="2.6"/>
    <n v="156"/>
    <n v="1718"/>
    <n v="137.94999999999999"/>
    <n v="172"/>
    <n v="190"/>
    <n v="12.2"/>
    <x v="0"/>
  </r>
  <r>
    <n v="2"/>
    <n v="4500"/>
    <x v="1"/>
    <x v="0"/>
    <n v="56.446269678302535"/>
    <x v="0"/>
    <x v="0"/>
    <x v="1"/>
    <x v="0"/>
    <x v="0"/>
    <x v="1"/>
    <n v="1.1000000000000001"/>
    <n v="302"/>
    <n v="4.1399999999999997"/>
    <n v="54"/>
    <n v="7394.8"/>
    <n v="113.52"/>
    <n v="88"/>
    <n v="221"/>
    <n v="10.6"/>
    <x v="1"/>
  </r>
  <r>
    <n v="3"/>
    <n v="1012"/>
    <x v="0"/>
    <x v="0"/>
    <n v="70.072553045858996"/>
    <x v="1"/>
    <x v="1"/>
    <x v="1"/>
    <x v="1"/>
    <x v="1"/>
    <x v="2"/>
    <n v="1.4"/>
    <n v="176"/>
    <n v="3.48"/>
    <n v="210"/>
    <n v="516"/>
    <n v="96.1"/>
    <n v="55"/>
    <n v="151"/>
    <n v="12"/>
    <x v="0"/>
  </r>
  <r>
    <n v="4"/>
    <n v="1925"/>
    <x v="0"/>
    <x v="0"/>
    <n v="54.740588637919231"/>
    <x v="0"/>
    <x v="0"/>
    <x v="1"/>
    <x v="0"/>
    <x v="0"/>
    <x v="2"/>
    <n v="1.8"/>
    <n v="244"/>
    <n v="2.54"/>
    <n v="64"/>
    <n v="6121.8"/>
    <n v="60.63"/>
    <n v="92"/>
    <n v="183"/>
    <n v="10.3"/>
    <x v="0"/>
  </r>
  <r>
    <n v="5"/>
    <n v="1504"/>
    <x v="2"/>
    <x v="1"/>
    <n v="38.105407255304584"/>
    <x v="2"/>
    <x v="0"/>
    <x v="1"/>
    <x v="0"/>
    <x v="0"/>
    <x v="1"/>
    <n v="3.4"/>
    <n v="279"/>
    <n v="3.53"/>
    <n v="143"/>
    <n v="671"/>
    <n v="113.15"/>
    <n v="72"/>
    <n v="136"/>
    <n v="10.9"/>
    <x v="1"/>
  </r>
  <r>
    <n v="6"/>
    <n v="2503"/>
    <x v="0"/>
    <x v="1"/>
    <n v="66.258726899383987"/>
    <x v="1"/>
    <x v="0"/>
    <x v="1"/>
    <x v="0"/>
    <x v="1"/>
    <x v="1"/>
    <n v="0.8"/>
    <n v="248"/>
    <n v="3.98"/>
    <n v="50"/>
    <n v="944"/>
    <n v="93"/>
    <n v="63"/>
    <n v="251"/>
    <n v="11"/>
    <x v="1"/>
  </r>
  <r>
    <n v="7"/>
    <n v="1832"/>
    <x v="1"/>
    <x v="1"/>
    <n v="55.534565366187543"/>
    <x v="0"/>
    <x v="0"/>
    <x v="1"/>
    <x v="0"/>
    <x v="1"/>
    <x v="1"/>
    <n v="1"/>
    <n v="322"/>
    <n v="4.09"/>
    <n v="52"/>
    <n v="824"/>
    <n v="60.45"/>
    <n v="213"/>
    <n v="204"/>
    <n v="9.6999999999999993"/>
    <x v="1"/>
  </r>
  <r>
    <n v="8"/>
    <n v="2466"/>
    <x v="0"/>
    <x v="1"/>
    <n v="53.056810403832991"/>
    <x v="0"/>
    <x v="0"/>
    <x v="1"/>
    <x v="1"/>
    <x v="1"/>
    <x v="1"/>
    <n v="0.3"/>
    <n v="280"/>
    <n v="4"/>
    <n v="52"/>
    <n v="4651.2"/>
    <n v="28.38"/>
    <n v="189"/>
    <n v="373"/>
    <n v="11"/>
    <x v="1"/>
  </r>
  <r>
    <n v="9"/>
    <n v="2400"/>
    <x v="0"/>
    <x v="0"/>
    <n v="42.507871321013006"/>
    <x v="0"/>
    <x v="0"/>
    <x v="1"/>
    <x v="1"/>
    <x v="0"/>
    <x v="1"/>
    <n v="3.2"/>
    <n v="562"/>
    <n v="3.08"/>
    <n v="79"/>
    <n v="2276"/>
    <n v="144.15"/>
    <n v="88"/>
    <n v="251"/>
    <n v="11"/>
    <x v="2"/>
  </r>
  <r>
    <n v="10"/>
    <n v="51"/>
    <x v="0"/>
    <x v="1"/>
    <n v="70.559890485968509"/>
    <x v="1"/>
    <x v="0"/>
    <x v="0"/>
    <x v="1"/>
    <x v="0"/>
    <x v="0"/>
    <n v="12.6"/>
    <n v="200"/>
    <n v="2.74"/>
    <n v="140"/>
    <n v="918"/>
    <n v="147.25"/>
    <n v="143"/>
    <n v="302"/>
    <n v="11.5"/>
    <x v="0"/>
  </r>
  <r>
    <n v="11"/>
    <n v="3762"/>
    <x v="0"/>
    <x v="1"/>
    <n v="53.713894592744694"/>
    <x v="0"/>
    <x v="0"/>
    <x v="1"/>
    <x v="0"/>
    <x v="0"/>
    <x v="1"/>
    <n v="1.4"/>
    <n v="259"/>
    <n v="4.16"/>
    <n v="46"/>
    <n v="1104"/>
    <n v="79.05"/>
    <n v="79"/>
    <n v="258"/>
    <n v="12"/>
    <x v="0"/>
  </r>
  <r>
    <n v="12"/>
    <n v="304"/>
    <x v="0"/>
    <x v="1"/>
    <n v="59.137577002053391"/>
    <x v="0"/>
    <x v="0"/>
    <x v="1"/>
    <x v="1"/>
    <x v="0"/>
    <x v="1"/>
    <n v="3.6"/>
    <n v="236"/>
    <n v="3.52"/>
    <n v="94"/>
    <n v="591"/>
    <n v="82.15"/>
    <n v="95"/>
    <n v="71"/>
    <n v="13.6"/>
    <x v="0"/>
  </r>
  <r>
    <n v="13"/>
    <n v="3577"/>
    <x v="1"/>
    <x v="1"/>
    <n v="45.68925393566051"/>
    <x v="0"/>
    <x v="0"/>
    <x v="1"/>
    <x v="1"/>
    <x v="1"/>
    <x v="1"/>
    <n v="0.7"/>
    <n v="281"/>
    <n v="3.85"/>
    <n v="40"/>
    <n v="1181"/>
    <n v="88.35"/>
    <n v="130"/>
    <n v="244"/>
    <n v="10.6"/>
    <x v="1"/>
  </r>
  <r>
    <n v="14"/>
    <n v="1217"/>
    <x v="0"/>
    <x v="1"/>
    <n v="56.2217659137577"/>
    <x v="0"/>
    <x v="1"/>
    <x v="0"/>
    <x v="0"/>
    <x v="1"/>
    <x v="0"/>
    <n v="0.8"/>
    <n v="309.5"/>
    <n v="2.27"/>
    <n v="43"/>
    <n v="728"/>
    <n v="71"/>
    <n v="108"/>
    <n v="156"/>
    <n v="11"/>
    <x v="0"/>
  </r>
  <r>
    <n v="15"/>
    <n v="3584"/>
    <x v="0"/>
    <x v="0"/>
    <n v="64.646132785763172"/>
    <x v="1"/>
    <x v="0"/>
    <x v="1"/>
    <x v="1"/>
    <x v="1"/>
    <x v="1"/>
    <n v="0.8"/>
    <n v="231"/>
    <n v="3.87"/>
    <n v="173"/>
    <n v="9009.7999999999993"/>
    <n v="127.71"/>
    <n v="96"/>
    <n v="295"/>
    <n v="11"/>
    <x v="1"/>
  </r>
  <r>
    <n v="16"/>
    <n v="3672"/>
    <x v="1"/>
    <x v="1"/>
    <n v="40.4435318275154"/>
    <x v="0"/>
    <x v="0"/>
    <x v="1"/>
    <x v="1"/>
    <x v="1"/>
    <x v="1"/>
    <n v="0.7"/>
    <n v="204"/>
    <n v="3.66"/>
    <n v="28"/>
    <n v="685"/>
    <n v="72.849999999999994"/>
    <n v="58"/>
    <n v="198"/>
    <n v="10.8"/>
    <x v="1"/>
  </r>
  <r>
    <n v="17"/>
    <n v="769"/>
    <x v="0"/>
    <x v="1"/>
    <n v="52.183436002737849"/>
    <x v="0"/>
    <x v="0"/>
    <x v="1"/>
    <x v="0"/>
    <x v="1"/>
    <x v="1"/>
    <n v="2.7"/>
    <n v="274"/>
    <n v="3.15"/>
    <n v="159"/>
    <n v="1533"/>
    <n v="117.8"/>
    <n v="128"/>
    <n v="224"/>
    <n v="10.5"/>
    <x v="0"/>
  </r>
  <r>
    <n v="18"/>
    <n v="131"/>
    <x v="0"/>
    <x v="0"/>
    <n v="53.930184804928132"/>
    <x v="0"/>
    <x v="0"/>
    <x v="1"/>
    <x v="0"/>
    <x v="0"/>
    <x v="0"/>
    <n v="11.4"/>
    <n v="178"/>
    <n v="2.8"/>
    <n v="588"/>
    <n v="961"/>
    <n v="280.55"/>
    <n v="200"/>
    <n v="283"/>
    <n v="12.4"/>
    <x v="0"/>
  </r>
  <r>
    <n v="19"/>
    <n v="4232"/>
    <x v="1"/>
    <x v="0"/>
    <n v="49.560574948665298"/>
    <x v="0"/>
    <x v="0"/>
    <x v="1"/>
    <x v="0"/>
    <x v="1"/>
    <x v="2"/>
    <n v="0.7"/>
    <n v="235"/>
    <n v="3.56"/>
    <n v="39"/>
    <n v="1881"/>
    <n v="93"/>
    <n v="123"/>
    <n v="209"/>
    <n v="11"/>
    <x v="1"/>
  </r>
  <r>
    <n v="20"/>
    <n v="1356"/>
    <x v="0"/>
    <x v="1"/>
    <n v="59.953456536618752"/>
    <x v="0"/>
    <x v="0"/>
    <x v="1"/>
    <x v="0"/>
    <x v="1"/>
    <x v="1"/>
    <n v="5.0999999999999996"/>
    <n v="374"/>
    <n v="3.51"/>
    <n v="140"/>
    <n v="1919"/>
    <n v="122.45"/>
    <n v="135"/>
    <n v="322"/>
    <n v="13"/>
    <x v="0"/>
  </r>
  <r>
    <n v="21"/>
    <n v="3445"/>
    <x v="1"/>
    <x v="1"/>
    <n v="64.188911704312119"/>
    <x v="1"/>
    <x v="1"/>
    <x v="1"/>
    <x v="0"/>
    <x v="0"/>
    <x v="1"/>
    <n v="0.6"/>
    <n v="252"/>
    <n v="3.83"/>
    <n v="41"/>
    <n v="843"/>
    <n v="65.099999999999994"/>
    <n v="83"/>
    <n v="336"/>
    <n v="11.4"/>
    <x v="0"/>
  </r>
  <r>
    <n v="22"/>
    <n v="673"/>
    <x v="0"/>
    <x v="0"/>
    <n v="56.276522929500345"/>
    <x v="0"/>
    <x v="0"/>
    <x v="1"/>
    <x v="1"/>
    <x v="0"/>
    <x v="1"/>
    <n v="3.4"/>
    <n v="271"/>
    <n v="3.63"/>
    <n v="464"/>
    <n v="1376"/>
    <n v="120.9"/>
    <n v="55"/>
    <n v="173"/>
    <n v="11.6"/>
    <x v="0"/>
  </r>
  <r>
    <n v="23"/>
    <n v="264"/>
    <x v="0"/>
    <x v="1"/>
    <n v="55.967145790554412"/>
    <x v="0"/>
    <x v="0"/>
    <x v="0"/>
    <x v="0"/>
    <x v="0"/>
    <x v="0"/>
    <n v="17.399999999999999"/>
    <n v="395"/>
    <n v="2.94"/>
    <n v="558"/>
    <n v="6064.8"/>
    <n v="227.04"/>
    <n v="191"/>
    <n v="214"/>
    <n v="11.7"/>
    <x v="0"/>
  </r>
  <r>
    <n v="24"/>
    <n v="4079"/>
    <x v="0"/>
    <x v="0"/>
    <n v="44.520191649555102"/>
    <x v="0"/>
    <x v="1"/>
    <x v="1"/>
    <x v="0"/>
    <x v="1"/>
    <x v="1"/>
    <n v="2.1"/>
    <n v="456"/>
    <n v="4"/>
    <n v="124"/>
    <n v="5719"/>
    <n v="221.88"/>
    <n v="230"/>
    <n v="70"/>
    <n v="9.9"/>
    <x v="2"/>
  </r>
  <r>
    <n v="25"/>
    <n v="4127"/>
    <x v="1"/>
    <x v="1"/>
    <n v="45.073237508555785"/>
    <x v="0"/>
    <x v="0"/>
    <x v="1"/>
    <x v="1"/>
    <x v="1"/>
    <x v="1"/>
    <n v="0.7"/>
    <n v="298"/>
    <n v="4.0999999999999996"/>
    <n v="40"/>
    <n v="661"/>
    <n v="106.95"/>
    <n v="66"/>
    <n v="324"/>
    <n v="11.3"/>
    <x v="2"/>
  </r>
  <r>
    <n v="26"/>
    <n v="1444"/>
    <x v="0"/>
    <x v="1"/>
    <n v="52.024640657084191"/>
    <x v="0"/>
    <x v="0"/>
    <x v="1"/>
    <x v="0"/>
    <x v="0"/>
    <x v="1"/>
    <n v="5.2"/>
    <n v="1128"/>
    <n v="3.68"/>
    <n v="53"/>
    <n v="3228"/>
    <n v="165.85"/>
    <n v="166"/>
    <n v="421"/>
    <n v="9.9"/>
    <x v="1"/>
  </r>
  <r>
    <n v="27"/>
    <n v="77"/>
    <x v="0"/>
    <x v="1"/>
    <n v="54.439425051334702"/>
    <x v="0"/>
    <x v="0"/>
    <x v="0"/>
    <x v="0"/>
    <x v="0"/>
    <x v="2"/>
    <n v="21.6"/>
    <n v="175"/>
    <n v="3.31"/>
    <n v="221"/>
    <n v="3697.4"/>
    <n v="101.91"/>
    <n v="168"/>
    <n v="80"/>
    <n v="12"/>
    <x v="0"/>
  </r>
  <r>
    <n v="28"/>
    <n v="549"/>
    <x v="0"/>
    <x v="1"/>
    <n v="44.947296372347708"/>
    <x v="0"/>
    <x v="0"/>
    <x v="0"/>
    <x v="0"/>
    <x v="0"/>
    <x v="0"/>
    <n v="17.2"/>
    <n v="222"/>
    <n v="3.23"/>
    <n v="209"/>
    <n v="1975"/>
    <n v="189.1"/>
    <n v="195"/>
    <n v="144"/>
    <n v="13"/>
    <x v="0"/>
  </r>
  <r>
    <n v="29"/>
    <n v="4509"/>
    <x v="1"/>
    <x v="1"/>
    <n v="63.876796714579058"/>
    <x v="1"/>
    <x v="0"/>
    <x v="1"/>
    <x v="1"/>
    <x v="1"/>
    <x v="1"/>
    <n v="0.7"/>
    <n v="370"/>
    <n v="3.78"/>
    <n v="24"/>
    <n v="5833"/>
    <n v="73.53"/>
    <n v="86"/>
    <n v="390"/>
    <n v="10.6"/>
    <x v="2"/>
  </r>
  <r>
    <n v="30"/>
    <n v="321"/>
    <x v="0"/>
    <x v="1"/>
    <n v="41.385352498288846"/>
    <x v="0"/>
    <x v="0"/>
    <x v="1"/>
    <x v="0"/>
    <x v="0"/>
    <x v="1"/>
    <n v="3.6"/>
    <n v="260"/>
    <n v="2.54"/>
    <n v="172"/>
    <n v="7277"/>
    <n v="121.26"/>
    <n v="158"/>
    <n v="124"/>
    <n v="11"/>
    <x v="0"/>
  </r>
  <r>
    <n v="31"/>
    <n v="3839"/>
    <x v="0"/>
    <x v="1"/>
    <n v="41.552361396303901"/>
    <x v="0"/>
    <x v="0"/>
    <x v="1"/>
    <x v="0"/>
    <x v="1"/>
    <x v="1"/>
    <n v="4.7"/>
    <n v="296"/>
    <n v="3.44"/>
    <n v="114"/>
    <n v="9933.2000000000007"/>
    <n v="206.4"/>
    <n v="101"/>
    <n v="195"/>
    <n v="10.3"/>
    <x v="2"/>
  </r>
  <r>
    <n v="32"/>
    <n v="4523"/>
    <x v="1"/>
    <x v="1"/>
    <n v="53.995893223819301"/>
    <x v="0"/>
    <x v="0"/>
    <x v="1"/>
    <x v="0"/>
    <x v="1"/>
    <x v="1"/>
    <n v="1.8"/>
    <n v="262"/>
    <n v="3.34"/>
    <n v="101"/>
    <n v="7277"/>
    <n v="82.56"/>
    <n v="158"/>
    <n v="286"/>
    <n v="10.6"/>
    <x v="0"/>
  </r>
  <r>
    <n v="33"/>
    <n v="3170"/>
    <x v="0"/>
    <x v="1"/>
    <n v="51.282683093771389"/>
    <x v="0"/>
    <x v="0"/>
    <x v="1"/>
    <x v="1"/>
    <x v="1"/>
    <x v="1"/>
    <n v="0.8"/>
    <n v="210"/>
    <n v="3.19"/>
    <n v="82"/>
    <n v="1592"/>
    <n v="218.55"/>
    <n v="113"/>
    <n v="180"/>
    <n v="12"/>
    <x v="1"/>
  </r>
  <r>
    <n v="34"/>
    <n v="3933"/>
    <x v="1"/>
    <x v="0"/>
    <n v="52.060232717316907"/>
    <x v="0"/>
    <x v="0"/>
    <x v="1"/>
    <x v="1"/>
    <x v="1"/>
    <x v="1"/>
    <n v="0.8"/>
    <n v="364"/>
    <n v="3.7"/>
    <n v="37"/>
    <n v="1840"/>
    <n v="170.5"/>
    <n v="64"/>
    <n v="273"/>
    <n v="10.5"/>
    <x v="2"/>
  </r>
  <r>
    <n v="35"/>
    <n v="2847"/>
    <x v="0"/>
    <x v="1"/>
    <n v="48.618754277891853"/>
    <x v="0"/>
    <x v="0"/>
    <x v="1"/>
    <x v="1"/>
    <x v="1"/>
    <x v="1"/>
    <n v="1.2"/>
    <n v="314"/>
    <n v="3.2"/>
    <n v="201"/>
    <n v="12258.8"/>
    <n v="72.239999999999995"/>
    <n v="151"/>
    <n v="431"/>
    <n v="10.6"/>
    <x v="1"/>
  </r>
  <r>
    <n v="36"/>
    <n v="3611"/>
    <x v="1"/>
    <x v="1"/>
    <n v="56.410677618069812"/>
    <x v="0"/>
    <x v="0"/>
    <x v="1"/>
    <x v="1"/>
    <x v="1"/>
    <x v="1"/>
    <n v="0.3"/>
    <n v="172"/>
    <n v="3.39"/>
    <n v="18"/>
    <n v="558"/>
    <n v="71.3"/>
    <n v="96"/>
    <n v="311"/>
    <n v="10.6"/>
    <x v="2"/>
  </r>
  <r>
    <n v="37"/>
    <n v="223"/>
    <x v="0"/>
    <x v="0"/>
    <n v="61.727583846680353"/>
    <x v="1"/>
    <x v="0"/>
    <x v="0"/>
    <x v="0"/>
    <x v="1"/>
    <x v="0"/>
    <n v="7.1"/>
    <n v="334"/>
    <n v="3.01"/>
    <n v="150"/>
    <n v="6931.2"/>
    <n v="180.6"/>
    <n v="118"/>
    <n v="102"/>
    <n v="12"/>
    <x v="0"/>
  </r>
  <r>
    <n v="38"/>
    <n v="3244"/>
    <x v="0"/>
    <x v="1"/>
    <n v="36.62696783025325"/>
    <x v="2"/>
    <x v="0"/>
    <x v="1"/>
    <x v="0"/>
    <x v="0"/>
    <x v="1"/>
    <n v="3.3"/>
    <n v="383"/>
    <n v="3.53"/>
    <n v="102"/>
    <n v="1234"/>
    <n v="137.94999999999999"/>
    <n v="87"/>
    <n v="234"/>
    <n v="11"/>
    <x v="0"/>
  </r>
  <r>
    <n v="39"/>
    <n v="2297"/>
    <x v="0"/>
    <x v="0"/>
    <n v="55.392197125256672"/>
    <x v="0"/>
    <x v="0"/>
    <x v="1"/>
    <x v="0"/>
    <x v="1"/>
    <x v="1"/>
    <n v="0.7"/>
    <n v="282"/>
    <n v="3"/>
    <n v="52"/>
    <n v="9066.7999999999993"/>
    <n v="72.239999999999995"/>
    <n v="111"/>
    <n v="563"/>
    <n v="10.6"/>
    <x v="0"/>
  </r>
  <r>
    <n v="40"/>
    <n v="4467"/>
    <x v="1"/>
    <x v="0"/>
    <n v="46.669404517453799"/>
    <x v="0"/>
    <x v="0"/>
    <x v="1"/>
    <x v="1"/>
    <x v="1"/>
    <x v="1"/>
    <n v="1.3"/>
    <n v="309.5"/>
    <n v="3.34"/>
    <n v="105"/>
    <n v="11046.6"/>
    <n v="104.49"/>
    <n v="108"/>
    <n v="358"/>
    <n v="11"/>
    <x v="0"/>
  </r>
  <r>
    <n v="41"/>
    <n v="1350"/>
    <x v="0"/>
    <x v="0"/>
    <n v="33.634496919917865"/>
    <x v="2"/>
    <x v="0"/>
    <x v="1"/>
    <x v="0"/>
    <x v="1"/>
    <x v="1"/>
    <n v="6.8"/>
    <n v="309.5"/>
    <n v="3.26"/>
    <n v="96"/>
    <n v="1215"/>
    <n v="151.9"/>
    <n v="108"/>
    <n v="226"/>
    <n v="11.7"/>
    <x v="0"/>
  </r>
  <r>
    <n v="42"/>
    <n v="4453"/>
    <x v="1"/>
    <x v="1"/>
    <n v="33.694729637234772"/>
    <x v="2"/>
    <x v="0"/>
    <x v="1"/>
    <x v="0"/>
    <x v="0"/>
    <x v="1"/>
    <n v="2.1"/>
    <n v="309.5"/>
    <n v="3.54"/>
    <n v="122"/>
    <n v="8778"/>
    <n v="56.76"/>
    <n v="108"/>
    <n v="344"/>
    <n v="11"/>
    <x v="0"/>
  </r>
  <r>
    <n v="43"/>
    <n v="4556"/>
    <x v="1"/>
    <x v="0"/>
    <n v="48.870636550308006"/>
    <x v="0"/>
    <x v="0"/>
    <x v="1"/>
    <x v="1"/>
    <x v="1"/>
    <x v="1"/>
    <n v="1.1000000000000001"/>
    <n v="361"/>
    <n v="3.64"/>
    <n v="36"/>
    <n v="5430.2"/>
    <n v="67.08"/>
    <n v="89"/>
    <n v="203"/>
    <n v="10.6"/>
    <x v="2"/>
  </r>
  <r>
    <n v="44"/>
    <n v="3428"/>
    <x v="0"/>
    <x v="1"/>
    <n v="37.582477754962355"/>
    <x v="2"/>
    <x v="0"/>
    <x v="1"/>
    <x v="0"/>
    <x v="0"/>
    <x v="0"/>
    <n v="3.3"/>
    <n v="299"/>
    <n v="3.55"/>
    <n v="131"/>
    <n v="1029"/>
    <n v="119.35"/>
    <n v="50"/>
    <n v="199"/>
    <n v="11.7"/>
    <x v="1"/>
  </r>
  <r>
    <n v="45"/>
    <n v="4025"/>
    <x v="1"/>
    <x v="1"/>
    <n v="41.793292265571523"/>
    <x v="0"/>
    <x v="0"/>
    <x v="1"/>
    <x v="1"/>
    <x v="1"/>
    <x v="1"/>
    <n v="0.6"/>
    <n v="309.5"/>
    <n v="3.93"/>
    <n v="19"/>
    <n v="1826"/>
    <n v="71.3"/>
    <n v="108"/>
    <n v="474"/>
    <n v="10.9"/>
    <x v="2"/>
  </r>
  <r>
    <n v="46"/>
    <n v="2256"/>
    <x v="0"/>
    <x v="0"/>
    <n v="45.798767967145793"/>
    <x v="0"/>
    <x v="0"/>
    <x v="1"/>
    <x v="0"/>
    <x v="1"/>
    <x v="1"/>
    <n v="5.7"/>
    <n v="482"/>
    <n v="2.84"/>
    <n v="161"/>
    <n v="11552"/>
    <n v="136.74"/>
    <n v="165"/>
    <n v="518"/>
    <n v="12.7"/>
    <x v="1"/>
  </r>
  <r>
    <n v="47"/>
    <n v="2576"/>
    <x v="1"/>
    <x v="1"/>
    <n v="47.427789185489388"/>
    <x v="0"/>
    <x v="0"/>
    <x v="1"/>
    <x v="1"/>
    <x v="1"/>
    <x v="1"/>
    <n v="0.5"/>
    <n v="316"/>
    <n v="3.65"/>
    <n v="68"/>
    <n v="1716"/>
    <n v="187.55"/>
    <n v="71"/>
    <n v="356"/>
    <n v="9.8000000000000007"/>
    <x v="1"/>
  </r>
  <r>
    <n v="48"/>
    <n v="4427"/>
    <x v="1"/>
    <x v="1"/>
    <n v="49.13620807665982"/>
    <x v="0"/>
    <x v="1"/>
    <x v="1"/>
    <x v="1"/>
    <x v="1"/>
    <x v="1"/>
    <n v="1.9"/>
    <n v="259"/>
    <n v="3.7"/>
    <n v="281"/>
    <n v="10396.799999999999"/>
    <n v="188.34"/>
    <n v="178"/>
    <n v="214"/>
    <n v="11"/>
    <x v="1"/>
  </r>
  <r>
    <n v="49"/>
    <n v="708"/>
    <x v="0"/>
    <x v="1"/>
    <n v="61.152635181382614"/>
    <x v="1"/>
    <x v="0"/>
    <x v="1"/>
    <x v="0"/>
    <x v="1"/>
    <x v="1"/>
    <n v="0.8"/>
    <n v="309.5"/>
    <n v="3.82"/>
    <n v="58"/>
    <n v="678"/>
    <n v="97.65"/>
    <n v="108"/>
    <n v="233"/>
    <n v="11"/>
    <x v="0"/>
  </r>
  <r>
    <n v="50"/>
    <n v="2598"/>
    <x v="0"/>
    <x v="0"/>
    <n v="53.508555783709788"/>
    <x v="0"/>
    <x v="0"/>
    <x v="1"/>
    <x v="0"/>
    <x v="1"/>
    <x v="1"/>
    <n v="1.1000000000000001"/>
    <n v="257"/>
    <n v="3.36"/>
    <n v="43"/>
    <n v="1080"/>
    <n v="106.95"/>
    <n v="73"/>
    <n v="128"/>
    <n v="10.6"/>
    <x v="0"/>
  </r>
  <r>
    <n v="51"/>
    <n v="3853"/>
    <x v="0"/>
    <x v="1"/>
    <n v="52.087611225188226"/>
    <x v="0"/>
    <x v="0"/>
    <x v="1"/>
    <x v="1"/>
    <x v="1"/>
    <x v="1"/>
    <n v="0.8"/>
    <n v="276"/>
    <n v="3.6"/>
    <n v="54"/>
    <n v="4332"/>
    <n v="99.33"/>
    <n v="143"/>
    <n v="273"/>
    <n v="10.6"/>
    <x v="2"/>
  </r>
  <r>
    <n v="52"/>
    <n v="2386"/>
    <x v="0"/>
    <x v="0"/>
    <n v="50.540725530458587"/>
    <x v="0"/>
    <x v="1"/>
    <x v="1"/>
    <x v="1"/>
    <x v="1"/>
    <x v="1"/>
    <n v="6"/>
    <n v="614"/>
    <n v="3.7"/>
    <n v="158"/>
    <n v="5084.3999999999996"/>
    <n v="206.4"/>
    <n v="93"/>
    <n v="362"/>
    <n v="10.6"/>
    <x v="3"/>
  </r>
  <r>
    <n v="53"/>
    <n v="1000"/>
    <x v="0"/>
    <x v="0"/>
    <n v="67.408624229979466"/>
    <x v="1"/>
    <x v="0"/>
    <x v="1"/>
    <x v="0"/>
    <x v="1"/>
    <x v="1"/>
    <n v="2.6"/>
    <n v="309.5"/>
    <n v="3.1"/>
    <n v="94"/>
    <n v="6456.2"/>
    <n v="56.76"/>
    <n v="108"/>
    <n v="214"/>
    <n v="11"/>
    <x v="0"/>
  </r>
  <r>
    <n v="54"/>
    <n v="1434"/>
    <x v="0"/>
    <x v="0"/>
    <n v="39.197809719370291"/>
    <x v="2"/>
    <x v="0"/>
    <x v="0"/>
    <x v="0"/>
    <x v="0"/>
    <x v="0"/>
    <n v="1.3"/>
    <n v="288"/>
    <n v="3.4"/>
    <n v="262"/>
    <n v="5487.2"/>
    <n v="73.53"/>
    <n v="125"/>
    <n v="254"/>
    <n v="11"/>
    <x v="0"/>
  </r>
  <r>
    <n v="55"/>
    <n v="1360"/>
    <x v="0"/>
    <x v="0"/>
    <n v="65.763175906913077"/>
    <x v="1"/>
    <x v="1"/>
    <x v="1"/>
    <x v="1"/>
    <x v="1"/>
    <x v="1"/>
    <n v="1.8"/>
    <n v="416"/>
    <n v="3.94"/>
    <n v="121"/>
    <n v="10165"/>
    <n v="79.98"/>
    <n v="219"/>
    <n v="213"/>
    <n v="11"/>
    <x v="1"/>
  </r>
  <r>
    <n v="56"/>
    <n v="1847"/>
    <x v="0"/>
    <x v="1"/>
    <n v="33.618069815195071"/>
    <x v="2"/>
    <x v="0"/>
    <x v="1"/>
    <x v="0"/>
    <x v="0"/>
    <x v="1"/>
    <n v="1.1000000000000001"/>
    <n v="498"/>
    <n v="3.8"/>
    <n v="88"/>
    <n v="13862.4"/>
    <n v="95.46"/>
    <n v="319"/>
    <n v="365"/>
    <n v="10.6"/>
    <x v="2"/>
  </r>
  <r>
    <n v="57"/>
    <n v="3282"/>
    <x v="0"/>
    <x v="0"/>
    <n v="53.571526351813823"/>
    <x v="0"/>
    <x v="0"/>
    <x v="1"/>
    <x v="0"/>
    <x v="1"/>
    <x v="2"/>
    <n v="2.2999999999999998"/>
    <n v="260"/>
    <n v="3.18"/>
    <n v="231"/>
    <n v="11320.2"/>
    <n v="105.78"/>
    <n v="94"/>
    <n v="216"/>
    <n v="12.4"/>
    <x v="1"/>
  </r>
  <r>
    <n v="58"/>
    <n v="4459"/>
    <x v="1"/>
    <x v="0"/>
    <n v="44.569472963723477"/>
    <x v="0"/>
    <x v="1"/>
    <x v="1"/>
    <x v="1"/>
    <x v="1"/>
    <x v="1"/>
    <n v="0.7"/>
    <n v="242"/>
    <n v="4.08"/>
    <n v="73"/>
    <n v="5890"/>
    <n v="56.76"/>
    <n v="118"/>
    <n v="251"/>
    <n v="10.6"/>
    <x v="3"/>
  </r>
  <r>
    <n v="59"/>
    <n v="2224"/>
    <x v="0"/>
    <x v="0"/>
    <n v="40.394250513347025"/>
    <x v="0"/>
    <x v="0"/>
    <x v="1"/>
    <x v="0"/>
    <x v="0"/>
    <x v="1"/>
    <n v="0.8"/>
    <n v="329"/>
    <n v="3.5"/>
    <n v="49"/>
    <n v="7622.8"/>
    <n v="126.42"/>
    <n v="124"/>
    <n v="321"/>
    <n v="10.6"/>
    <x v="1"/>
  </r>
  <r>
    <n v="60"/>
    <n v="4365"/>
    <x v="1"/>
    <x v="0"/>
    <n v="58.381930184804929"/>
    <x v="0"/>
    <x v="0"/>
    <x v="1"/>
    <x v="1"/>
    <x v="1"/>
    <x v="1"/>
    <n v="0.9"/>
    <n v="604"/>
    <n v="3.4"/>
    <n v="82"/>
    <n v="876"/>
    <n v="71.3"/>
    <n v="58"/>
    <n v="228"/>
    <n v="10.3"/>
    <x v="1"/>
  </r>
  <r>
    <n v="61"/>
    <n v="4256"/>
    <x v="1"/>
    <x v="1"/>
    <n v="43.898699520876114"/>
    <x v="0"/>
    <x v="1"/>
    <x v="1"/>
    <x v="1"/>
    <x v="1"/>
    <x v="1"/>
    <n v="0.6"/>
    <n v="216"/>
    <n v="3.94"/>
    <n v="28"/>
    <n v="601"/>
    <n v="60.45"/>
    <n v="188"/>
    <n v="211"/>
    <n v="13"/>
    <x v="3"/>
  </r>
  <r>
    <n v="62"/>
    <n v="3090"/>
    <x v="0"/>
    <x v="1"/>
    <n v="60.706365503080079"/>
    <x v="1"/>
    <x v="0"/>
    <x v="0"/>
    <x v="1"/>
    <x v="1"/>
    <x v="1"/>
    <n v="1.3"/>
    <n v="302"/>
    <n v="2.75"/>
    <n v="58"/>
    <n v="1523"/>
    <n v="43.4"/>
    <n v="112"/>
    <n v="329"/>
    <n v="13.2"/>
    <x v="0"/>
  </r>
  <r>
    <n v="63"/>
    <n v="859"/>
    <x v="0"/>
    <x v="1"/>
    <n v="46.628336755646821"/>
    <x v="0"/>
    <x v="0"/>
    <x v="1"/>
    <x v="1"/>
    <x v="0"/>
    <x v="0"/>
    <n v="22.5"/>
    <n v="932"/>
    <n v="3.12"/>
    <n v="95"/>
    <n v="5396"/>
    <n v="244.9"/>
    <n v="133"/>
    <n v="165"/>
    <n v="11.6"/>
    <x v="1"/>
  </r>
  <r>
    <n v="64"/>
    <n v="1487"/>
    <x v="0"/>
    <x v="1"/>
    <n v="62.907597535934293"/>
    <x v="1"/>
    <x v="0"/>
    <x v="1"/>
    <x v="0"/>
    <x v="1"/>
    <x v="1"/>
    <n v="2.1"/>
    <n v="373"/>
    <n v="3.5"/>
    <n v="52"/>
    <n v="1009"/>
    <n v="150.35"/>
    <n v="188"/>
    <n v="178"/>
    <n v="11"/>
    <x v="1"/>
  </r>
  <r>
    <n v="65"/>
    <n v="3992"/>
    <x v="1"/>
    <x v="0"/>
    <n v="40.202600958247778"/>
    <x v="0"/>
    <x v="0"/>
    <x v="1"/>
    <x v="1"/>
    <x v="1"/>
    <x v="1"/>
    <n v="1.2"/>
    <n v="256"/>
    <n v="3.6"/>
    <n v="74"/>
    <n v="724"/>
    <n v="141.05000000000001"/>
    <n v="108"/>
    <n v="430"/>
    <n v="10"/>
    <x v="3"/>
  </r>
  <r>
    <n v="66"/>
    <n v="4191"/>
    <x v="0"/>
    <x v="0"/>
    <n v="46.453114305270361"/>
    <x v="0"/>
    <x v="1"/>
    <x v="1"/>
    <x v="0"/>
    <x v="1"/>
    <x v="1"/>
    <n v="1.4"/>
    <n v="427"/>
    <n v="3.7"/>
    <n v="105"/>
    <n v="1909"/>
    <n v="182.9"/>
    <n v="171"/>
    <n v="123"/>
    <n v="11"/>
    <x v="1"/>
  </r>
  <r>
    <n v="67"/>
    <n v="2769"/>
    <x v="0"/>
    <x v="1"/>
    <n v="51.288158795345652"/>
    <x v="0"/>
    <x v="0"/>
    <x v="1"/>
    <x v="1"/>
    <x v="1"/>
    <x v="1"/>
    <n v="1.1000000000000001"/>
    <n v="466"/>
    <n v="3.91"/>
    <n v="84"/>
    <n v="1787"/>
    <n v="328.6"/>
    <n v="185"/>
    <n v="261"/>
    <n v="10"/>
    <x v="1"/>
  </r>
  <r>
    <n v="68"/>
    <n v="4039"/>
    <x v="1"/>
    <x v="0"/>
    <n v="32.61327857631759"/>
    <x v="2"/>
    <x v="0"/>
    <x v="1"/>
    <x v="1"/>
    <x v="1"/>
    <x v="1"/>
    <n v="0.7"/>
    <n v="174"/>
    <n v="4.09"/>
    <n v="58"/>
    <n v="642"/>
    <n v="71.3"/>
    <n v="46"/>
    <n v="203"/>
    <n v="10.6"/>
    <x v="1"/>
  </r>
  <r>
    <n v="69"/>
    <n v="1170"/>
    <x v="0"/>
    <x v="0"/>
    <n v="49.338809034907598"/>
    <x v="0"/>
    <x v="0"/>
    <x v="1"/>
    <x v="0"/>
    <x v="0"/>
    <x v="2"/>
    <n v="20"/>
    <n v="652"/>
    <n v="3.46"/>
    <n v="159"/>
    <n v="3292"/>
    <n v="215.45"/>
    <n v="184"/>
    <n v="227"/>
    <n v="12.4"/>
    <x v="1"/>
  </r>
  <r>
    <n v="70"/>
    <n v="3458"/>
    <x v="1"/>
    <x v="0"/>
    <n v="56.399726214921287"/>
    <x v="0"/>
    <x v="0"/>
    <x v="1"/>
    <x v="1"/>
    <x v="1"/>
    <x v="1"/>
    <n v="0.6"/>
    <n v="309.5"/>
    <n v="4.6399999999999997"/>
    <n v="20"/>
    <n v="666"/>
    <n v="54.25"/>
    <n v="108"/>
    <n v="265"/>
    <n v="10.6"/>
    <x v="2"/>
  </r>
  <r>
    <n v="71"/>
    <n v="4196"/>
    <x v="1"/>
    <x v="1"/>
    <n v="48.845995893223822"/>
    <x v="0"/>
    <x v="0"/>
    <x v="1"/>
    <x v="0"/>
    <x v="1"/>
    <x v="1"/>
    <n v="1.2"/>
    <n v="258"/>
    <n v="3.57"/>
    <n v="79"/>
    <n v="2201"/>
    <n v="120.9"/>
    <n v="76"/>
    <n v="410"/>
    <n v="11.5"/>
    <x v="0"/>
  </r>
  <r>
    <n v="72"/>
    <n v="4184"/>
    <x v="1"/>
    <x v="1"/>
    <n v="32.492813141683776"/>
    <x v="2"/>
    <x v="0"/>
    <x v="1"/>
    <x v="1"/>
    <x v="1"/>
    <x v="1"/>
    <n v="0.5"/>
    <n v="320"/>
    <n v="3.54"/>
    <n v="51"/>
    <n v="1243"/>
    <n v="122.45"/>
    <n v="80"/>
    <n v="225"/>
    <n v="10"/>
    <x v="1"/>
  </r>
  <r>
    <n v="73"/>
    <n v="4190"/>
    <x v="1"/>
    <x v="1"/>
    <n v="38.494182067077347"/>
    <x v="2"/>
    <x v="0"/>
    <x v="1"/>
    <x v="1"/>
    <x v="1"/>
    <x v="1"/>
    <n v="0.7"/>
    <n v="132"/>
    <n v="3.6"/>
    <n v="17"/>
    <n v="423"/>
    <n v="49.6"/>
    <n v="56"/>
    <n v="265"/>
    <n v="11"/>
    <x v="3"/>
  </r>
  <r>
    <n v="74"/>
    <n v="1827"/>
    <x v="0"/>
    <x v="0"/>
    <n v="51.920602327173171"/>
    <x v="0"/>
    <x v="0"/>
    <x v="1"/>
    <x v="0"/>
    <x v="0"/>
    <x v="1"/>
    <n v="8.4"/>
    <n v="558"/>
    <n v="3.99"/>
    <n v="280"/>
    <n v="967"/>
    <n v="89.9"/>
    <n v="309"/>
    <n v="278"/>
    <n v="11"/>
    <x v="0"/>
  </r>
  <r>
    <n v="75"/>
    <n v="1191"/>
    <x v="0"/>
    <x v="0"/>
    <n v="43.518138261464749"/>
    <x v="0"/>
    <x v="0"/>
    <x v="0"/>
    <x v="0"/>
    <x v="0"/>
    <x v="2"/>
    <n v="17.100000000000001"/>
    <n v="674"/>
    <n v="2.5299999999999998"/>
    <n v="207"/>
    <n v="2078"/>
    <n v="182.9"/>
    <n v="598"/>
    <n v="268"/>
    <n v="11.5"/>
    <x v="0"/>
  </r>
  <r>
    <n v="76"/>
    <n v="71"/>
    <x v="0"/>
    <x v="0"/>
    <n v="51.942505133470227"/>
    <x v="0"/>
    <x v="0"/>
    <x v="1"/>
    <x v="0"/>
    <x v="0"/>
    <x v="2"/>
    <n v="12.2"/>
    <n v="394"/>
    <n v="3.08"/>
    <n v="111"/>
    <n v="2132"/>
    <n v="155"/>
    <n v="243"/>
    <n v="165"/>
    <n v="11.6"/>
    <x v="0"/>
  </r>
  <r>
    <n v="77"/>
    <n v="326"/>
    <x v="0"/>
    <x v="1"/>
    <n v="49.826146475017111"/>
    <x v="0"/>
    <x v="0"/>
    <x v="1"/>
    <x v="0"/>
    <x v="0"/>
    <x v="2"/>
    <n v="6.6"/>
    <n v="244"/>
    <n v="3.41"/>
    <n v="199"/>
    <n v="1819"/>
    <n v="170.5"/>
    <n v="91"/>
    <n v="132"/>
    <n v="12.1"/>
    <x v="1"/>
  </r>
  <r>
    <n v="78"/>
    <n v="1690"/>
    <x v="0"/>
    <x v="0"/>
    <n v="47.945242984257355"/>
    <x v="0"/>
    <x v="0"/>
    <x v="1"/>
    <x v="0"/>
    <x v="1"/>
    <x v="1"/>
    <n v="6.3"/>
    <n v="436"/>
    <n v="3.02"/>
    <n v="75"/>
    <n v="2176"/>
    <n v="170.5"/>
    <n v="104"/>
    <n v="236"/>
    <n v="10.6"/>
    <x v="0"/>
  </r>
  <r>
    <n v="79"/>
    <n v="3707"/>
    <x v="1"/>
    <x v="0"/>
    <n v="46.516084873374403"/>
    <x v="0"/>
    <x v="0"/>
    <x v="1"/>
    <x v="0"/>
    <x v="1"/>
    <x v="1"/>
    <n v="0.8"/>
    <n v="315"/>
    <n v="4.24"/>
    <n v="13"/>
    <n v="1637"/>
    <n v="170.5"/>
    <n v="70"/>
    <n v="426"/>
    <n v="10.9"/>
    <x v="1"/>
  </r>
  <r>
    <n v="80"/>
    <n v="890"/>
    <x v="0"/>
    <x v="1"/>
    <n v="67.411362080766594"/>
    <x v="1"/>
    <x v="1"/>
    <x v="1"/>
    <x v="0"/>
    <x v="1"/>
    <x v="1"/>
    <n v="7.2"/>
    <n v="247"/>
    <n v="3.72"/>
    <n v="269"/>
    <n v="1303"/>
    <n v="176.7"/>
    <n v="91"/>
    <n v="360"/>
    <n v="11.2"/>
    <x v="0"/>
  </r>
  <r>
    <n v="81"/>
    <n v="2540"/>
    <x v="0"/>
    <x v="0"/>
    <n v="63.263518138261468"/>
    <x v="1"/>
    <x v="0"/>
    <x v="1"/>
    <x v="0"/>
    <x v="0"/>
    <x v="1"/>
    <n v="14.4"/>
    <n v="448"/>
    <n v="3.65"/>
    <n v="34"/>
    <n v="1218"/>
    <n v="60.45"/>
    <n v="318"/>
    <n v="385"/>
    <n v="11.7"/>
    <x v="0"/>
  </r>
  <r>
    <n v="82"/>
    <n v="3574"/>
    <x v="0"/>
    <x v="0"/>
    <n v="67.310061601642715"/>
    <x v="1"/>
    <x v="0"/>
    <x v="1"/>
    <x v="1"/>
    <x v="1"/>
    <x v="1"/>
    <n v="4.5"/>
    <n v="472"/>
    <n v="4.09"/>
    <n v="154"/>
    <n v="1580"/>
    <n v="117.8"/>
    <n v="272"/>
    <n v="412"/>
    <n v="11.1"/>
    <x v="1"/>
  </r>
  <r>
    <n v="83"/>
    <n v="4050"/>
    <x v="1"/>
    <x v="0"/>
    <n v="56.013689253935659"/>
    <x v="0"/>
    <x v="0"/>
    <x v="1"/>
    <x v="0"/>
    <x v="1"/>
    <x v="2"/>
    <n v="1.3"/>
    <n v="250"/>
    <n v="3.5"/>
    <n v="48"/>
    <n v="1138"/>
    <n v="71.3"/>
    <n v="100"/>
    <n v="81"/>
    <n v="12.9"/>
    <x v="0"/>
  </r>
  <r>
    <n v="84"/>
    <n v="4032"/>
    <x v="1"/>
    <x v="1"/>
    <n v="55.83025325119781"/>
    <x v="0"/>
    <x v="0"/>
    <x v="1"/>
    <x v="1"/>
    <x v="1"/>
    <x v="1"/>
    <n v="0.4"/>
    <n v="263"/>
    <n v="3.76"/>
    <n v="29"/>
    <n v="1345"/>
    <n v="137.94999999999999"/>
    <n v="74"/>
    <n v="181"/>
    <n v="11.2"/>
    <x v="1"/>
  </r>
  <r>
    <n v="85"/>
    <n v="3358"/>
    <x v="0"/>
    <x v="1"/>
    <n v="47.21697467488022"/>
    <x v="0"/>
    <x v="0"/>
    <x v="1"/>
    <x v="0"/>
    <x v="1"/>
    <x v="1"/>
    <n v="2.1"/>
    <n v="262"/>
    <n v="3.48"/>
    <n v="58"/>
    <n v="2045"/>
    <n v="89.9"/>
    <n v="84"/>
    <n v="225"/>
    <n v="11.5"/>
    <x v="0"/>
  </r>
  <r>
    <n v="86"/>
    <n v="1657"/>
    <x v="0"/>
    <x v="0"/>
    <n v="52.758384668035589"/>
    <x v="0"/>
    <x v="0"/>
    <x v="1"/>
    <x v="0"/>
    <x v="0"/>
    <x v="1"/>
    <n v="5"/>
    <n v="1600"/>
    <n v="3.21"/>
    <n v="75"/>
    <n v="2656"/>
    <n v="82.15"/>
    <n v="174"/>
    <n v="181"/>
    <n v="10.9"/>
    <x v="1"/>
  </r>
  <r>
    <n v="87"/>
    <n v="198"/>
    <x v="0"/>
    <x v="0"/>
    <n v="37.278576317590691"/>
    <x v="2"/>
    <x v="0"/>
    <x v="1"/>
    <x v="1"/>
    <x v="1"/>
    <x v="1"/>
    <n v="1.1000000000000001"/>
    <n v="345"/>
    <n v="4.4000000000000004"/>
    <n v="75"/>
    <n v="1860"/>
    <n v="218.55"/>
    <n v="72"/>
    <n v="447"/>
    <n v="10.7"/>
    <x v="1"/>
  </r>
  <r>
    <n v="88"/>
    <n v="2452"/>
    <x v="1"/>
    <x v="1"/>
    <n v="41.393566050650243"/>
    <x v="0"/>
    <x v="0"/>
    <x v="1"/>
    <x v="1"/>
    <x v="1"/>
    <x v="2"/>
    <n v="0.6"/>
    <n v="296"/>
    <n v="4.0599999999999996"/>
    <n v="37"/>
    <n v="1032"/>
    <n v="80.599999999999994"/>
    <n v="83"/>
    <n v="442"/>
    <n v="12"/>
    <x v="1"/>
  </r>
  <r>
    <n v="89"/>
    <n v="1741"/>
    <x v="0"/>
    <x v="0"/>
    <n v="52.4435318275154"/>
    <x v="0"/>
    <x v="0"/>
    <x v="1"/>
    <x v="0"/>
    <x v="1"/>
    <x v="1"/>
    <n v="2"/>
    <n v="408"/>
    <n v="3.65"/>
    <n v="50"/>
    <n v="1083"/>
    <n v="110.05"/>
    <n v="98"/>
    <n v="200"/>
    <n v="11.4"/>
    <x v="2"/>
  </r>
  <r>
    <n v="90"/>
    <n v="2689"/>
    <x v="0"/>
    <x v="0"/>
    <n v="33.4757015742642"/>
    <x v="2"/>
    <x v="1"/>
    <x v="1"/>
    <x v="1"/>
    <x v="1"/>
    <x v="1"/>
    <n v="1.6"/>
    <n v="660"/>
    <n v="4.22"/>
    <n v="94"/>
    <n v="1857"/>
    <n v="151.9"/>
    <n v="155"/>
    <n v="337"/>
    <n v="11"/>
    <x v="2"/>
  </r>
  <r>
    <n v="91"/>
    <n v="460"/>
    <x v="0"/>
    <x v="1"/>
    <n v="45.607118412046546"/>
    <x v="0"/>
    <x v="0"/>
    <x v="1"/>
    <x v="0"/>
    <x v="0"/>
    <x v="2"/>
    <n v="5"/>
    <n v="325"/>
    <n v="3.47"/>
    <n v="110"/>
    <n v="2460"/>
    <n v="246.45"/>
    <n v="56"/>
    <n v="430"/>
    <n v="11.9"/>
    <x v="0"/>
  </r>
  <r>
    <n v="92"/>
    <n v="388"/>
    <x v="0"/>
    <x v="0"/>
    <n v="76.709103353867221"/>
    <x v="1"/>
    <x v="0"/>
    <x v="0"/>
    <x v="1"/>
    <x v="1"/>
    <x v="0"/>
    <n v="1.4"/>
    <n v="206"/>
    <n v="3.13"/>
    <n v="36"/>
    <n v="1626"/>
    <n v="86.8"/>
    <n v="70"/>
    <n v="145"/>
    <n v="12.2"/>
    <x v="0"/>
  </r>
  <r>
    <n v="93"/>
    <n v="3913"/>
    <x v="1"/>
    <x v="0"/>
    <n v="36.533880903490761"/>
    <x v="2"/>
    <x v="0"/>
    <x v="1"/>
    <x v="1"/>
    <x v="1"/>
    <x v="1"/>
    <n v="1.3"/>
    <n v="353"/>
    <n v="3.67"/>
    <n v="73"/>
    <n v="2039"/>
    <n v="232.5"/>
    <n v="68"/>
    <n v="380"/>
    <n v="11.1"/>
    <x v="2"/>
  </r>
  <r>
    <n v="94"/>
    <n v="750"/>
    <x v="0"/>
    <x v="0"/>
    <n v="53.916495550992472"/>
    <x v="0"/>
    <x v="0"/>
    <x v="1"/>
    <x v="0"/>
    <x v="0"/>
    <x v="1"/>
    <n v="3.2"/>
    <n v="201"/>
    <n v="3.11"/>
    <n v="178"/>
    <n v="1212"/>
    <n v="159.65"/>
    <n v="69"/>
    <n v="188"/>
    <n v="11.8"/>
    <x v="0"/>
  </r>
  <r>
    <n v="95"/>
    <n v="130"/>
    <x v="0"/>
    <x v="1"/>
    <n v="46.390143737166326"/>
    <x v="0"/>
    <x v="0"/>
    <x v="0"/>
    <x v="0"/>
    <x v="0"/>
    <x v="0"/>
    <n v="17.399999999999999"/>
    <n v="309.5"/>
    <n v="2.64"/>
    <n v="182"/>
    <n v="559"/>
    <n v="119.35"/>
    <n v="108"/>
    <n v="401"/>
    <n v="11.7"/>
    <x v="2"/>
  </r>
  <r>
    <n v="96"/>
    <n v="3850"/>
    <x v="1"/>
    <x v="0"/>
    <n v="48.845995893223822"/>
    <x v="0"/>
    <x v="0"/>
    <x v="1"/>
    <x v="1"/>
    <x v="1"/>
    <x v="1"/>
    <n v="1"/>
    <n v="309.5"/>
    <n v="3.7"/>
    <n v="33"/>
    <n v="1258"/>
    <n v="99.2"/>
    <n v="108"/>
    <n v="338"/>
    <n v="10.4"/>
    <x v="1"/>
  </r>
  <r>
    <n v="97"/>
    <n v="611"/>
    <x v="0"/>
    <x v="1"/>
    <n v="71.893223819301852"/>
    <x v="1"/>
    <x v="1"/>
    <x v="1"/>
    <x v="0"/>
    <x v="1"/>
    <x v="2"/>
    <n v="2"/>
    <n v="420"/>
    <n v="3.26"/>
    <n v="62"/>
    <n v="3196"/>
    <n v="77.5"/>
    <n v="91"/>
    <n v="344"/>
    <n v="11.4"/>
    <x v="1"/>
  </r>
  <r>
    <n v="98"/>
    <n v="3823"/>
    <x v="1"/>
    <x v="0"/>
    <n v="28.884325804243669"/>
    <x v="2"/>
    <x v="0"/>
    <x v="1"/>
    <x v="1"/>
    <x v="1"/>
    <x v="1"/>
    <n v="1"/>
    <n v="239"/>
    <n v="3.77"/>
    <n v="77"/>
    <n v="1877"/>
    <n v="97.65"/>
    <n v="101"/>
    <n v="312"/>
    <n v="10.199999999999999"/>
    <x v="3"/>
  </r>
  <r>
    <n v="99"/>
    <n v="3820"/>
    <x v="1"/>
    <x v="1"/>
    <n v="48.468172484599592"/>
    <x v="0"/>
    <x v="1"/>
    <x v="1"/>
    <x v="1"/>
    <x v="1"/>
    <x v="1"/>
    <n v="1.8"/>
    <n v="460"/>
    <n v="3.35"/>
    <n v="148"/>
    <n v="1472"/>
    <n v="108.5"/>
    <n v="118"/>
    <n v="172"/>
    <n v="10.199999999999999"/>
    <x v="2"/>
  </r>
  <r>
    <n v="100"/>
    <n v="552"/>
    <x v="0"/>
    <x v="1"/>
    <n v="51.468856947296374"/>
    <x v="0"/>
    <x v="1"/>
    <x v="1"/>
    <x v="0"/>
    <x v="1"/>
    <x v="1"/>
    <n v="2.2999999999999998"/>
    <n v="178"/>
    <n v="3"/>
    <n v="145"/>
    <n v="746"/>
    <n v="178.25"/>
    <n v="122"/>
    <n v="119"/>
    <n v="12"/>
    <x v="0"/>
  </r>
  <r>
    <n v="101"/>
    <n v="3581"/>
    <x v="1"/>
    <x v="1"/>
    <n v="44.950034223134843"/>
    <x v="0"/>
    <x v="0"/>
    <x v="1"/>
    <x v="1"/>
    <x v="1"/>
    <x v="1"/>
    <n v="0.9"/>
    <n v="400"/>
    <n v="3.6"/>
    <n v="31"/>
    <n v="1689"/>
    <n v="164.3"/>
    <n v="166"/>
    <n v="327"/>
    <n v="10.4"/>
    <x v="1"/>
  </r>
  <r>
    <n v="102"/>
    <n v="3099"/>
    <x v="1"/>
    <x v="0"/>
    <n v="56.569472963723477"/>
    <x v="0"/>
    <x v="0"/>
    <x v="1"/>
    <x v="1"/>
    <x v="1"/>
    <x v="1"/>
    <n v="0.9"/>
    <n v="248"/>
    <n v="3.97"/>
    <n v="172"/>
    <n v="646"/>
    <n v="62"/>
    <n v="84"/>
    <n v="128"/>
    <n v="10.1"/>
    <x v="3"/>
  </r>
  <r>
    <n v="103"/>
    <n v="110"/>
    <x v="0"/>
    <x v="1"/>
    <n v="48.963723477070502"/>
    <x v="0"/>
    <x v="0"/>
    <x v="0"/>
    <x v="0"/>
    <x v="0"/>
    <x v="0"/>
    <n v="2.5"/>
    <n v="188"/>
    <n v="3.67"/>
    <n v="57"/>
    <n v="1273"/>
    <n v="119.35"/>
    <n v="102"/>
    <n v="110"/>
    <n v="11.1"/>
    <x v="0"/>
  </r>
  <r>
    <n v="104"/>
    <n v="3086"/>
    <x v="0"/>
    <x v="0"/>
    <n v="43.017111567419576"/>
    <x v="0"/>
    <x v="0"/>
    <x v="1"/>
    <x v="1"/>
    <x v="1"/>
    <x v="1"/>
    <n v="1.1000000000000001"/>
    <n v="303"/>
    <n v="3.64"/>
    <n v="20"/>
    <n v="2108"/>
    <n v="128.65"/>
    <n v="53"/>
    <n v="349"/>
    <n v="11.1"/>
    <x v="2"/>
  </r>
  <r>
    <n v="105"/>
    <n v="3092"/>
    <x v="2"/>
    <x v="1"/>
    <n v="34.039698836413415"/>
    <x v="2"/>
    <x v="0"/>
    <x v="1"/>
    <x v="0"/>
    <x v="1"/>
    <x v="1"/>
    <n v="1.1000000000000001"/>
    <n v="464"/>
    <n v="4.2"/>
    <n v="38"/>
    <n v="1644"/>
    <n v="151.9"/>
    <n v="102"/>
    <n v="348"/>
    <n v="10.3"/>
    <x v="1"/>
  </r>
  <r>
    <n v="106"/>
    <n v="3222"/>
    <x v="0"/>
    <x v="0"/>
    <n v="68.509240246406577"/>
    <x v="1"/>
    <x v="0"/>
    <x v="0"/>
    <x v="0"/>
    <x v="1"/>
    <x v="1"/>
    <n v="2.1"/>
    <n v="309.5"/>
    <n v="3.9"/>
    <n v="50"/>
    <n v="1087"/>
    <n v="103.85"/>
    <n v="108"/>
    <n v="137"/>
    <n v="10.6"/>
    <x v="2"/>
  </r>
  <r>
    <n v="107"/>
    <n v="3388"/>
    <x v="1"/>
    <x v="1"/>
    <n v="62.521560574948666"/>
    <x v="1"/>
    <x v="0"/>
    <x v="1"/>
    <x v="1"/>
    <x v="1"/>
    <x v="1"/>
    <n v="0.6"/>
    <n v="212"/>
    <n v="4.03"/>
    <n v="10"/>
    <n v="648"/>
    <n v="71.3"/>
    <n v="77"/>
    <n v="316"/>
    <n v="17.100000000000001"/>
    <x v="3"/>
  </r>
  <r>
    <n v="108"/>
    <n v="2583"/>
    <x v="0"/>
    <x v="0"/>
    <n v="50.357289527720738"/>
    <x v="0"/>
    <x v="0"/>
    <x v="1"/>
    <x v="1"/>
    <x v="1"/>
    <x v="1"/>
    <n v="0.4"/>
    <n v="127"/>
    <n v="3.5"/>
    <n v="14"/>
    <n v="1062"/>
    <n v="49.6"/>
    <n v="84"/>
    <n v="334"/>
    <n v="10.3"/>
    <x v="2"/>
  </r>
  <r>
    <n v="109"/>
    <n v="2504"/>
    <x v="1"/>
    <x v="1"/>
    <n v="44.062970568104035"/>
    <x v="0"/>
    <x v="0"/>
    <x v="1"/>
    <x v="1"/>
    <x v="1"/>
    <x v="1"/>
    <n v="0.5"/>
    <n v="120"/>
    <n v="3.61"/>
    <n v="53"/>
    <n v="804"/>
    <n v="110.05"/>
    <n v="52"/>
    <n v="271"/>
    <n v="10.6"/>
    <x v="1"/>
  </r>
  <r>
    <n v="110"/>
    <n v="2105"/>
    <x v="0"/>
    <x v="0"/>
    <n v="38.910335386721421"/>
    <x v="2"/>
    <x v="0"/>
    <x v="1"/>
    <x v="0"/>
    <x v="0"/>
    <x v="1"/>
    <n v="1.9"/>
    <n v="486"/>
    <n v="3.54"/>
    <n v="74"/>
    <n v="1052"/>
    <n v="108.5"/>
    <n v="109"/>
    <n v="141"/>
    <n v="10.9"/>
    <x v="1"/>
  </r>
  <r>
    <n v="111"/>
    <n v="2350"/>
    <x v="2"/>
    <x v="0"/>
    <n v="41.152635181382614"/>
    <x v="0"/>
    <x v="0"/>
    <x v="1"/>
    <x v="1"/>
    <x v="1"/>
    <x v="1"/>
    <n v="5.5"/>
    <n v="528"/>
    <n v="4.18"/>
    <n v="77"/>
    <n v="2404"/>
    <n v="172.05"/>
    <n v="78"/>
    <n v="467"/>
    <n v="10.7"/>
    <x v="1"/>
  </r>
  <r>
    <n v="112"/>
    <n v="3445"/>
    <x v="0"/>
    <x v="1"/>
    <n v="55.457905544147842"/>
    <x v="0"/>
    <x v="0"/>
    <x v="1"/>
    <x v="0"/>
    <x v="0"/>
    <x v="1"/>
    <n v="2"/>
    <n v="267"/>
    <n v="3.67"/>
    <n v="89"/>
    <n v="754"/>
    <n v="196.85"/>
    <n v="90"/>
    <n v="136"/>
    <n v="11.8"/>
    <x v="0"/>
  </r>
  <r>
    <n v="113"/>
    <n v="980"/>
    <x v="0"/>
    <x v="0"/>
    <n v="51.233401779603014"/>
    <x v="0"/>
    <x v="0"/>
    <x v="1"/>
    <x v="0"/>
    <x v="0"/>
    <x v="1"/>
    <n v="6.7"/>
    <n v="374"/>
    <n v="3.74"/>
    <n v="103"/>
    <n v="979"/>
    <n v="128.65"/>
    <n v="100"/>
    <n v="266"/>
    <n v="11.1"/>
    <x v="0"/>
  </r>
  <r>
    <n v="114"/>
    <n v="3395"/>
    <x v="0"/>
    <x v="1"/>
    <n v="52.826830937713893"/>
    <x v="0"/>
    <x v="1"/>
    <x v="1"/>
    <x v="1"/>
    <x v="1"/>
    <x v="1"/>
    <n v="3.2"/>
    <n v="259"/>
    <n v="4.3"/>
    <n v="208"/>
    <n v="1040"/>
    <n v="110.05"/>
    <n v="78"/>
    <n v="268"/>
    <n v="11.7"/>
    <x v="1"/>
  </r>
  <r>
    <n v="115"/>
    <n v="3422"/>
    <x v="1"/>
    <x v="1"/>
    <n v="42.639288158795345"/>
    <x v="0"/>
    <x v="0"/>
    <x v="1"/>
    <x v="1"/>
    <x v="0"/>
    <x v="1"/>
    <n v="0.7"/>
    <n v="303"/>
    <n v="4.1900000000000004"/>
    <n v="81"/>
    <n v="1584"/>
    <n v="111.6"/>
    <n v="156"/>
    <n v="307"/>
    <n v="10.3"/>
    <x v="1"/>
  </r>
  <r>
    <n v="116"/>
    <n v="3336"/>
    <x v="1"/>
    <x v="0"/>
    <n v="61.07049965776865"/>
    <x v="1"/>
    <x v="0"/>
    <x v="1"/>
    <x v="1"/>
    <x v="0"/>
    <x v="2"/>
    <n v="3"/>
    <n v="458"/>
    <n v="3.63"/>
    <n v="74"/>
    <n v="1588"/>
    <n v="106.95"/>
    <n v="382"/>
    <n v="438"/>
    <n v="9.9"/>
    <x v="1"/>
  </r>
  <r>
    <n v="117"/>
    <n v="1083"/>
    <x v="0"/>
    <x v="0"/>
    <n v="49.656399726214921"/>
    <x v="0"/>
    <x v="0"/>
    <x v="1"/>
    <x v="0"/>
    <x v="0"/>
    <x v="1"/>
    <n v="6.5"/>
    <n v="950"/>
    <n v="3.11"/>
    <n v="111"/>
    <n v="2374"/>
    <n v="170.5"/>
    <n v="149"/>
    <n v="354"/>
    <n v="11"/>
    <x v="0"/>
  </r>
  <r>
    <n v="118"/>
    <n v="2288"/>
    <x v="0"/>
    <x v="0"/>
    <n v="48.854209445585212"/>
    <x v="0"/>
    <x v="0"/>
    <x v="1"/>
    <x v="0"/>
    <x v="1"/>
    <x v="1"/>
    <n v="3.5"/>
    <n v="390"/>
    <n v="3.3"/>
    <n v="67"/>
    <n v="878"/>
    <n v="137.94999999999999"/>
    <n v="93"/>
    <n v="207"/>
    <n v="10.199999999999999"/>
    <x v="1"/>
  </r>
  <r>
    <n v="119"/>
    <n v="515"/>
    <x v="0"/>
    <x v="0"/>
    <n v="54.255989048596852"/>
    <x v="0"/>
    <x v="0"/>
    <x v="1"/>
    <x v="1"/>
    <x v="0"/>
    <x v="1"/>
    <n v="0.6"/>
    <n v="636"/>
    <n v="3.83"/>
    <n v="129"/>
    <n v="944"/>
    <n v="97.65"/>
    <n v="114"/>
    <n v="306"/>
    <n v="9.5"/>
    <x v="1"/>
  </r>
  <r>
    <n v="120"/>
    <n v="2033"/>
    <x v="2"/>
    <x v="0"/>
    <n v="35.15126625598905"/>
    <x v="2"/>
    <x v="1"/>
    <x v="1"/>
    <x v="1"/>
    <x v="1"/>
    <x v="1"/>
    <n v="3.5"/>
    <n v="325"/>
    <n v="3.98"/>
    <n v="444"/>
    <n v="766"/>
    <n v="130.19999999999999"/>
    <n v="210"/>
    <n v="344"/>
    <n v="10.6"/>
    <x v="1"/>
  </r>
  <r>
    <n v="121"/>
    <n v="191"/>
    <x v="0"/>
    <x v="1"/>
    <n v="67.906913073237504"/>
    <x v="1"/>
    <x v="1"/>
    <x v="0"/>
    <x v="0"/>
    <x v="1"/>
    <x v="0"/>
    <n v="1.3"/>
    <n v="151"/>
    <n v="3.08"/>
    <n v="73"/>
    <n v="1112"/>
    <n v="46.5"/>
    <n v="49"/>
    <n v="213"/>
    <n v="13.2"/>
    <x v="0"/>
  </r>
  <r>
    <n v="122"/>
    <n v="3297"/>
    <x v="1"/>
    <x v="0"/>
    <n v="55.436002737850785"/>
    <x v="0"/>
    <x v="0"/>
    <x v="1"/>
    <x v="1"/>
    <x v="1"/>
    <x v="1"/>
    <n v="0.6"/>
    <n v="298"/>
    <n v="4.13"/>
    <n v="29"/>
    <n v="758"/>
    <n v="65.099999999999994"/>
    <n v="85"/>
    <n v="256"/>
    <n v="10.7"/>
    <x v="1"/>
  </r>
  <r>
    <n v="123"/>
    <n v="971"/>
    <x v="0"/>
    <x v="0"/>
    <n v="45.820670773442849"/>
    <x v="0"/>
    <x v="0"/>
    <x v="1"/>
    <x v="0"/>
    <x v="0"/>
    <x v="0"/>
    <n v="5.0999999999999996"/>
    <n v="309.5"/>
    <n v="3.23"/>
    <n v="18"/>
    <n v="790"/>
    <n v="179.8"/>
    <n v="108"/>
    <n v="104"/>
    <n v="13"/>
    <x v="0"/>
  </r>
  <r>
    <n v="124"/>
    <n v="3069"/>
    <x v="1"/>
    <x v="0"/>
    <n v="52.889801505817935"/>
    <x v="0"/>
    <x v="1"/>
    <x v="1"/>
    <x v="0"/>
    <x v="1"/>
    <x v="1"/>
    <n v="0.6"/>
    <n v="251"/>
    <n v="3.9"/>
    <n v="25"/>
    <n v="681"/>
    <n v="57.35"/>
    <n v="107"/>
    <n v="182"/>
    <n v="10.8"/>
    <x v="0"/>
  </r>
  <r>
    <n v="125"/>
    <n v="2468"/>
    <x v="2"/>
    <x v="1"/>
    <n v="47.181382614647504"/>
    <x v="0"/>
    <x v="0"/>
    <x v="1"/>
    <x v="0"/>
    <x v="1"/>
    <x v="1"/>
    <n v="1.3"/>
    <n v="316"/>
    <n v="3.51"/>
    <n v="75"/>
    <n v="1162"/>
    <n v="147.25"/>
    <n v="137"/>
    <n v="238"/>
    <n v="10"/>
    <x v="0"/>
  </r>
  <r>
    <n v="126"/>
    <n v="824"/>
    <x v="0"/>
    <x v="0"/>
    <n v="53.598904859685149"/>
    <x v="0"/>
    <x v="0"/>
    <x v="0"/>
    <x v="0"/>
    <x v="0"/>
    <x v="1"/>
    <n v="1.2"/>
    <n v="269"/>
    <n v="3.12"/>
    <n v="73"/>
    <n v="1441"/>
    <n v="165.85"/>
    <n v="68"/>
    <n v="166"/>
    <n v="11.1"/>
    <x v="0"/>
  </r>
  <r>
    <n v="127"/>
    <n v="3255"/>
    <x v="1"/>
    <x v="1"/>
    <n v="44.10403832991102"/>
    <x v="0"/>
    <x v="0"/>
    <x v="1"/>
    <x v="1"/>
    <x v="1"/>
    <x v="1"/>
    <n v="0.5"/>
    <n v="268"/>
    <n v="4.08"/>
    <n v="9"/>
    <n v="1174"/>
    <n v="86.8"/>
    <n v="95"/>
    <n v="453"/>
    <n v="10"/>
    <x v="2"/>
  </r>
  <r>
    <n v="128"/>
    <n v="1037"/>
    <x v="0"/>
    <x v="0"/>
    <n v="41.949349760438054"/>
    <x v="0"/>
    <x v="0"/>
    <x v="1"/>
    <x v="0"/>
    <x v="0"/>
    <x v="1"/>
    <n v="16.2"/>
    <n v="309.5"/>
    <n v="2.89"/>
    <n v="42"/>
    <n v="1828"/>
    <n v="299.14999999999998"/>
    <n v="108"/>
    <n v="123"/>
    <n v="12.6"/>
    <x v="0"/>
  </r>
  <r>
    <n v="129"/>
    <n v="3239"/>
    <x v="1"/>
    <x v="0"/>
    <n v="63.613963039014372"/>
    <x v="1"/>
    <x v="0"/>
    <x v="1"/>
    <x v="0"/>
    <x v="1"/>
    <x v="1"/>
    <n v="0.9"/>
    <n v="420"/>
    <n v="3.87"/>
    <n v="30"/>
    <n v="1009"/>
    <n v="57.35"/>
    <n v="232"/>
    <n v="251"/>
    <n v="9.6999999999999993"/>
    <x v="1"/>
  </r>
  <r>
    <n v="130"/>
    <n v="1413"/>
    <x v="0"/>
    <x v="1"/>
    <n v="44.227241615331963"/>
    <x v="0"/>
    <x v="0"/>
    <x v="1"/>
    <x v="0"/>
    <x v="0"/>
    <x v="1"/>
    <n v="17.399999999999999"/>
    <n v="1775"/>
    <n v="3.43"/>
    <n v="205"/>
    <n v="2065"/>
    <n v="165.85"/>
    <n v="97"/>
    <n v="418"/>
    <n v="11.5"/>
    <x v="1"/>
  </r>
  <r>
    <n v="131"/>
    <n v="850"/>
    <x v="0"/>
    <x v="1"/>
    <n v="62.001368925393564"/>
    <x v="1"/>
    <x v="0"/>
    <x v="1"/>
    <x v="0"/>
    <x v="0"/>
    <x v="1"/>
    <n v="2.8"/>
    <n v="242"/>
    <n v="3.8"/>
    <n v="74"/>
    <n v="614"/>
    <n v="136.4"/>
    <n v="104"/>
    <n v="121"/>
    <n v="13.2"/>
    <x v="0"/>
  </r>
  <r>
    <n v="132"/>
    <n v="2944"/>
    <x v="1"/>
    <x v="0"/>
    <n v="40.553045859000683"/>
    <x v="0"/>
    <x v="0"/>
    <x v="1"/>
    <x v="1"/>
    <x v="1"/>
    <x v="1"/>
    <n v="1.9"/>
    <n v="448"/>
    <n v="3.83"/>
    <n v="60"/>
    <n v="1052"/>
    <n v="127.1"/>
    <n v="175"/>
    <n v="181"/>
    <n v="9.8000000000000007"/>
    <x v="1"/>
  </r>
  <r>
    <n v="133"/>
    <n v="2796"/>
    <x v="0"/>
    <x v="1"/>
    <n v="62.644763860369608"/>
    <x v="1"/>
    <x v="1"/>
    <x v="1"/>
    <x v="1"/>
    <x v="1"/>
    <x v="1"/>
    <n v="1.5"/>
    <n v="331"/>
    <n v="3.95"/>
    <n v="13"/>
    <n v="577"/>
    <n v="128.65"/>
    <n v="99"/>
    <n v="165"/>
    <n v="10.1"/>
    <x v="0"/>
  </r>
  <r>
    <n v="134"/>
    <n v="3149"/>
    <x v="1"/>
    <x v="1"/>
    <n v="42.335386721423681"/>
    <x v="0"/>
    <x v="0"/>
    <x v="1"/>
    <x v="1"/>
    <x v="1"/>
    <x v="1"/>
    <n v="0.7"/>
    <n v="578"/>
    <n v="3.67"/>
    <n v="35"/>
    <n v="1353"/>
    <n v="127.1"/>
    <n v="105"/>
    <n v="427"/>
    <n v="10.7"/>
    <x v="2"/>
  </r>
  <r>
    <n v="135"/>
    <n v="3150"/>
    <x v="1"/>
    <x v="0"/>
    <n v="42.967830253251201"/>
    <x v="0"/>
    <x v="0"/>
    <x v="1"/>
    <x v="1"/>
    <x v="1"/>
    <x v="1"/>
    <n v="0.4"/>
    <n v="263"/>
    <n v="3.57"/>
    <n v="123"/>
    <n v="836"/>
    <n v="74.400000000000006"/>
    <n v="121"/>
    <n v="445"/>
    <n v="11"/>
    <x v="2"/>
  </r>
  <r>
    <n v="136"/>
    <n v="3098"/>
    <x v="1"/>
    <x v="0"/>
    <n v="55.961670088980149"/>
    <x v="0"/>
    <x v="0"/>
    <x v="1"/>
    <x v="1"/>
    <x v="1"/>
    <x v="1"/>
    <n v="0.8"/>
    <n v="263"/>
    <n v="3.35"/>
    <n v="27"/>
    <n v="1636"/>
    <n v="116.25"/>
    <n v="69"/>
    <n v="206"/>
    <n v="9.8000000000000007"/>
    <x v="2"/>
  </r>
  <r>
    <n v="137"/>
    <n v="2990"/>
    <x v="1"/>
    <x v="0"/>
    <n v="62.861054072553046"/>
    <x v="1"/>
    <x v="0"/>
    <x v="1"/>
    <x v="1"/>
    <x v="1"/>
    <x v="1"/>
    <n v="1.1000000000000001"/>
    <n v="399"/>
    <n v="3.6"/>
    <n v="79"/>
    <n v="3472"/>
    <n v="155"/>
    <n v="152"/>
    <n v="344"/>
    <n v="10.1"/>
    <x v="2"/>
  </r>
  <r>
    <n v="138"/>
    <n v="1297"/>
    <x v="0"/>
    <x v="0"/>
    <n v="51.249828884325801"/>
    <x v="0"/>
    <x v="1"/>
    <x v="1"/>
    <x v="0"/>
    <x v="1"/>
    <x v="1"/>
    <n v="7.3"/>
    <n v="426"/>
    <n v="3.93"/>
    <n v="262"/>
    <n v="2424"/>
    <n v="145.69999999999999"/>
    <n v="218"/>
    <n v="252"/>
    <n v="10.5"/>
    <x v="1"/>
  </r>
  <r>
    <n v="139"/>
    <n v="2106"/>
    <x v="1"/>
    <x v="1"/>
    <n v="46.762491444216288"/>
    <x v="0"/>
    <x v="0"/>
    <x v="1"/>
    <x v="0"/>
    <x v="1"/>
    <x v="1"/>
    <n v="1.1000000000000001"/>
    <n v="328"/>
    <n v="3.31"/>
    <n v="159"/>
    <n v="1260"/>
    <n v="94.55"/>
    <n v="134"/>
    <n v="142"/>
    <n v="11.6"/>
    <x v="0"/>
  </r>
  <r>
    <n v="140"/>
    <n v="3059"/>
    <x v="1"/>
    <x v="0"/>
    <n v="54.075290896646131"/>
    <x v="0"/>
    <x v="0"/>
    <x v="1"/>
    <x v="0"/>
    <x v="1"/>
    <x v="1"/>
    <n v="1.1000000000000001"/>
    <n v="290"/>
    <n v="4.09"/>
    <n v="38"/>
    <n v="2120"/>
    <n v="186"/>
    <n v="146"/>
    <n v="318"/>
    <n v="10"/>
    <x v="1"/>
  </r>
  <r>
    <n v="141"/>
    <n v="3050"/>
    <x v="1"/>
    <x v="0"/>
    <n v="47.036276522929498"/>
    <x v="0"/>
    <x v="0"/>
    <x v="1"/>
    <x v="1"/>
    <x v="1"/>
    <x v="1"/>
    <n v="0.9"/>
    <n v="346"/>
    <n v="3.77"/>
    <n v="59"/>
    <n v="794"/>
    <n v="125.55"/>
    <n v="56"/>
    <n v="336"/>
    <n v="10.6"/>
    <x v="2"/>
  </r>
  <r>
    <n v="142"/>
    <n v="2419"/>
    <x v="0"/>
    <x v="1"/>
    <n v="55.72621492128679"/>
    <x v="0"/>
    <x v="0"/>
    <x v="1"/>
    <x v="0"/>
    <x v="1"/>
    <x v="1"/>
    <n v="1"/>
    <n v="364"/>
    <n v="3.48"/>
    <n v="20"/>
    <n v="720"/>
    <n v="134.85"/>
    <n v="88"/>
    <n v="283"/>
    <n v="9.9"/>
    <x v="2"/>
  </r>
  <r>
    <n v="143"/>
    <n v="786"/>
    <x v="0"/>
    <x v="1"/>
    <n v="46.102669404517457"/>
    <x v="0"/>
    <x v="0"/>
    <x v="1"/>
    <x v="0"/>
    <x v="1"/>
    <x v="1"/>
    <n v="2.9"/>
    <n v="332"/>
    <n v="3.6"/>
    <n v="86"/>
    <n v="1492"/>
    <n v="134.85"/>
    <n v="103"/>
    <n v="277"/>
    <n v="11"/>
    <x v="0"/>
  </r>
  <r>
    <n v="144"/>
    <n v="943"/>
    <x v="0"/>
    <x v="1"/>
    <n v="52.28747433264887"/>
    <x v="0"/>
    <x v="0"/>
    <x v="1"/>
    <x v="0"/>
    <x v="1"/>
    <x v="2"/>
    <n v="28"/>
    <n v="556"/>
    <n v="3.26"/>
    <n v="152"/>
    <n v="3896"/>
    <n v="198.4"/>
    <n v="171"/>
    <n v="335"/>
    <n v="10"/>
    <x v="1"/>
  </r>
  <r>
    <n v="145"/>
    <n v="2976"/>
    <x v="1"/>
    <x v="1"/>
    <n v="51.200547570157426"/>
    <x v="0"/>
    <x v="0"/>
    <x v="1"/>
    <x v="1"/>
    <x v="0"/>
    <x v="1"/>
    <n v="0.7"/>
    <n v="309"/>
    <n v="3.84"/>
    <n v="96"/>
    <n v="858"/>
    <n v="41.85"/>
    <n v="106"/>
    <n v="253"/>
    <n v="11.4"/>
    <x v="1"/>
  </r>
  <r>
    <n v="146"/>
    <n v="2615"/>
    <x v="1"/>
    <x v="1"/>
    <n v="33.864476386036962"/>
    <x v="2"/>
    <x v="0"/>
    <x v="1"/>
    <x v="1"/>
    <x v="1"/>
    <x v="2"/>
    <n v="1.2"/>
    <n v="309.5"/>
    <n v="3.89"/>
    <n v="58"/>
    <n v="1284"/>
    <n v="173.6"/>
    <n v="108"/>
    <n v="239"/>
    <n v="9.4"/>
    <x v="1"/>
  </r>
  <r>
    <n v="147"/>
    <n v="2995"/>
    <x v="1"/>
    <x v="0"/>
    <n v="75.011635865845307"/>
    <x v="1"/>
    <x v="0"/>
    <x v="1"/>
    <x v="1"/>
    <x v="1"/>
    <x v="2"/>
    <n v="1.2"/>
    <n v="288"/>
    <n v="3.37"/>
    <n v="32"/>
    <n v="791"/>
    <n v="57.35"/>
    <n v="114"/>
    <n v="213"/>
    <n v="10.7"/>
    <x v="2"/>
  </r>
  <r>
    <n v="148"/>
    <n v="1427"/>
    <x v="0"/>
    <x v="1"/>
    <n v="30.863791923340177"/>
    <x v="2"/>
    <x v="0"/>
    <x v="1"/>
    <x v="0"/>
    <x v="1"/>
    <x v="1"/>
    <n v="7.2"/>
    <n v="1015"/>
    <n v="3.26"/>
    <n v="247"/>
    <n v="3836"/>
    <n v="198.4"/>
    <n v="280"/>
    <n v="330"/>
    <n v="9.8000000000000007"/>
    <x v="1"/>
  </r>
  <r>
    <n v="149"/>
    <n v="762"/>
    <x v="0"/>
    <x v="0"/>
    <n v="61.804243668720055"/>
    <x v="1"/>
    <x v="1"/>
    <x v="1"/>
    <x v="0"/>
    <x v="0"/>
    <x v="2"/>
    <n v="3"/>
    <n v="257"/>
    <n v="3.79"/>
    <n v="290"/>
    <n v="1664"/>
    <n v="102.3"/>
    <n v="112"/>
    <n v="140"/>
    <n v="9.9"/>
    <x v="0"/>
  </r>
  <r>
    <n v="150"/>
    <n v="2891"/>
    <x v="1"/>
    <x v="1"/>
    <n v="34.986995208761122"/>
    <x v="2"/>
    <x v="0"/>
    <x v="1"/>
    <x v="1"/>
    <x v="0"/>
    <x v="1"/>
    <n v="1"/>
    <n v="309.5"/>
    <n v="3.63"/>
    <n v="57"/>
    <n v="1536"/>
    <n v="134.85"/>
    <n v="108"/>
    <n v="233"/>
    <n v="10"/>
    <x v="3"/>
  </r>
  <r>
    <n v="151"/>
    <n v="2870"/>
    <x v="1"/>
    <x v="0"/>
    <n v="55.041752224503767"/>
    <x v="0"/>
    <x v="0"/>
    <x v="1"/>
    <x v="1"/>
    <x v="1"/>
    <x v="1"/>
    <n v="0.9"/>
    <n v="460"/>
    <n v="3.03"/>
    <n v="57"/>
    <n v="721"/>
    <n v="85.25"/>
    <n v="174"/>
    <n v="301"/>
    <n v="9.4"/>
    <x v="2"/>
  </r>
  <r>
    <n v="152"/>
    <n v="1152"/>
    <x v="0"/>
    <x v="0"/>
    <n v="69.941136208076657"/>
    <x v="1"/>
    <x v="1"/>
    <x v="1"/>
    <x v="0"/>
    <x v="1"/>
    <x v="1"/>
    <n v="2.2999999999999998"/>
    <n v="586"/>
    <n v="3.01"/>
    <n v="243"/>
    <n v="2276"/>
    <n v="114.7"/>
    <n v="126"/>
    <n v="339"/>
    <n v="10.9"/>
    <x v="1"/>
  </r>
  <r>
    <n v="153"/>
    <n v="2863"/>
    <x v="1"/>
    <x v="0"/>
    <n v="49.604380561259411"/>
    <x v="0"/>
    <x v="0"/>
    <x v="1"/>
    <x v="1"/>
    <x v="1"/>
    <x v="1"/>
    <n v="0.5"/>
    <n v="217"/>
    <n v="3.85"/>
    <n v="68"/>
    <n v="453"/>
    <n v="54.25"/>
    <n v="68"/>
    <n v="270"/>
    <n v="11.1"/>
    <x v="3"/>
  </r>
  <r>
    <n v="154"/>
    <n v="140"/>
    <x v="0"/>
    <x v="0"/>
    <n v="69.377138945927442"/>
    <x v="1"/>
    <x v="1"/>
    <x v="1"/>
    <x v="1"/>
    <x v="0"/>
    <x v="0"/>
    <n v="2.4"/>
    <n v="168"/>
    <n v="2.56"/>
    <n v="225"/>
    <n v="1056"/>
    <n v="120.9"/>
    <n v="75"/>
    <n v="108"/>
    <n v="14.1"/>
    <x v="1"/>
  </r>
  <r>
    <n v="155"/>
    <n v="2666"/>
    <x v="1"/>
    <x v="1"/>
    <n v="43.5564681724846"/>
    <x v="0"/>
    <x v="0"/>
    <x v="1"/>
    <x v="0"/>
    <x v="0"/>
    <x v="2"/>
    <n v="0.6"/>
    <n v="220"/>
    <n v="3.35"/>
    <n v="57"/>
    <n v="1620"/>
    <n v="153.44999999999999"/>
    <n v="80"/>
    <n v="311"/>
    <n v="11.2"/>
    <x v="0"/>
  </r>
  <r>
    <n v="156"/>
    <n v="853"/>
    <x v="0"/>
    <x v="1"/>
    <n v="59.408624229979466"/>
    <x v="0"/>
    <x v="0"/>
    <x v="1"/>
    <x v="0"/>
    <x v="1"/>
    <x v="1"/>
    <n v="25.5"/>
    <n v="358"/>
    <n v="3.52"/>
    <n v="219"/>
    <n v="2468"/>
    <n v="201.5"/>
    <n v="205"/>
    <n v="151"/>
    <n v="11.5"/>
    <x v="2"/>
  </r>
  <r>
    <n v="157"/>
    <n v="2835"/>
    <x v="1"/>
    <x v="1"/>
    <n v="48.758384668035589"/>
    <x v="0"/>
    <x v="0"/>
    <x v="1"/>
    <x v="1"/>
    <x v="1"/>
    <x v="1"/>
    <n v="0.6"/>
    <n v="286"/>
    <n v="3.42"/>
    <n v="34"/>
    <n v="1868"/>
    <n v="77.5"/>
    <n v="206"/>
    <n v="487"/>
    <n v="10"/>
    <x v="2"/>
  </r>
  <r>
    <n v="158"/>
    <n v="2475"/>
    <x v="2"/>
    <x v="0"/>
    <n v="36.492813141683776"/>
    <x v="2"/>
    <x v="0"/>
    <x v="1"/>
    <x v="1"/>
    <x v="1"/>
    <x v="1"/>
    <n v="3.4"/>
    <n v="450"/>
    <n v="3.37"/>
    <n v="32"/>
    <n v="1408"/>
    <n v="116.25"/>
    <n v="118"/>
    <n v="313"/>
    <n v="11.2"/>
    <x v="2"/>
  </r>
  <r>
    <n v="159"/>
    <n v="1536"/>
    <x v="0"/>
    <x v="1"/>
    <n v="45.760438056125942"/>
    <x v="0"/>
    <x v="1"/>
    <x v="1"/>
    <x v="1"/>
    <x v="1"/>
    <x v="1"/>
    <n v="2.5"/>
    <n v="317"/>
    <n v="3.46"/>
    <n v="217"/>
    <n v="714"/>
    <n v="130.19999999999999"/>
    <n v="140"/>
    <n v="207"/>
    <n v="10.1"/>
    <x v="1"/>
  </r>
  <r>
    <n v="160"/>
    <n v="2772"/>
    <x v="1"/>
    <x v="1"/>
    <n v="57.371663244353179"/>
    <x v="0"/>
    <x v="0"/>
    <x v="1"/>
    <x v="1"/>
    <x v="1"/>
    <x v="1"/>
    <n v="0.6"/>
    <n v="217"/>
    <n v="3.62"/>
    <n v="13"/>
    <n v="414"/>
    <n v="75.95"/>
    <n v="119"/>
    <n v="224"/>
    <n v="10.5"/>
    <x v="1"/>
  </r>
  <r>
    <n v="161"/>
    <n v="2797"/>
    <x v="1"/>
    <x v="1"/>
    <n v="42.743326488706366"/>
    <x v="0"/>
    <x v="0"/>
    <x v="1"/>
    <x v="1"/>
    <x v="1"/>
    <x v="1"/>
    <n v="2.2999999999999998"/>
    <n v="502"/>
    <n v="3.56"/>
    <n v="4"/>
    <n v="964"/>
    <n v="120.9"/>
    <n v="180"/>
    <n v="269"/>
    <n v="9.6"/>
    <x v="2"/>
  </r>
  <r>
    <n v="162"/>
    <n v="186"/>
    <x v="0"/>
    <x v="1"/>
    <n v="58.817248459958932"/>
    <x v="0"/>
    <x v="0"/>
    <x v="1"/>
    <x v="0"/>
    <x v="0"/>
    <x v="1"/>
    <n v="3.2"/>
    <n v="260"/>
    <n v="3.19"/>
    <n v="91"/>
    <n v="815"/>
    <n v="127.1"/>
    <n v="101"/>
    <n v="160"/>
    <n v="12"/>
    <x v="0"/>
  </r>
  <r>
    <n v="163"/>
    <n v="2055"/>
    <x v="0"/>
    <x v="0"/>
    <n v="53.497604380561256"/>
    <x v="0"/>
    <x v="0"/>
    <x v="1"/>
    <x v="1"/>
    <x v="1"/>
    <x v="1"/>
    <n v="0.3"/>
    <n v="233"/>
    <n v="4.08"/>
    <n v="20"/>
    <n v="622"/>
    <n v="66.650000000000006"/>
    <n v="68"/>
    <n v="358"/>
    <n v="9.9"/>
    <x v="1"/>
  </r>
  <r>
    <n v="164"/>
    <n v="264"/>
    <x v="0"/>
    <x v="1"/>
    <n v="43.414099931553729"/>
    <x v="0"/>
    <x v="0"/>
    <x v="1"/>
    <x v="0"/>
    <x v="0"/>
    <x v="2"/>
    <n v="8.5"/>
    <n v="309.5"/>
    <n v="3.34"/>
    <n v="161"/>
    <n v="1428"/>
    <n v="181.35"/>
    <n v="108"/>
    <n v="88"/>
    <n v="13.3"/>
    <x v="0"/>
  </r>
  <r>
    <n v="165"/>
    <n v="1077"/>
    <x v="0"/>
    <x v="0"/>
    <n v="53.30595482546201"/>
    <x v="0"/>
    <x v="1"/>
    <x v="1"/>
    <x v="0"/>
    <x v="1"/>
    <x v="1"/>
    <n v="4"/>
    <n v="196"/>
    <n v="3.45"/>
    <n v="80"/>
    <n v="2496"/>
    <n v="133.30000000000001"/>
    <n v="142"/>
    <n v="212"/>
    <n v="11.3"/>
    <x v="0"/>
  </r>
  <r>
    <n v="166"/>
    <n v="2721"/>
    <x v="1"/>
    <x v="1"/>
    <n v="41.355236139630392"/>
    <x v="0"/>
    <x v="0"/>
    <x v="1"/>
    <x v="0"/>
    <x v="1"/>
    <x v="1"/>
    <n v="5.7"/>
    <n v="1480"/>
    <n v="3.26"/>
    <n v="84"/>
    <n v="1960"/>
    <n v="457.25"/>
    <n v="108"/>
    <n v="213"/>
    <n v="9.5"/>
    <x v="2"/>
  </r>
  <r>
    <n v="167"/>
    <n v="1682"/>
    <x v="0"/>
    <x v="0"/>
    <n v="60.958247775496233"/>
    <x v="1"/>
    <x v="1"/>
    <x v="1"/>
    <x v="0"/>
    <x v="1"/>
    <x v="1"/>
    <n v="0.9"/>
    <n v="376"/>
    <n v="3.86"/>
    <n v="200"/>
    <n v="1015"/>
    <n v="83.7"/>
    <n v="154"/>
    <n v="238"/>
    <n v="10.3"/>
    <x v="0"/>
  </r>
  <r>
    <n v="168"/>
    <n v="2713"/>
    <x v="1"/>
    <x v="1"/>
    <n v="47.753593429158109"/>
    <x v="0"/>
    <x v="0"/>
    <x v="1"/>
    <x v="0"/>
    <x v="1"/>
    <x v="1"/>
    <n v="0.4"/>
    <n v="257"/>
    <n v="3.8"/>
    <n v="44"/>
    <n v="842"/>
    <n v="97.65"/>
    <n v="110"/>
    <n v="251"/>
    <n v="9.1999999999999993"/>
    <x v="2"/>
  </r>
  <r>
    <n v="169"/>
    <n v="1212"/>
    <x v="0"/>
    <x v="1"/>
    <n v="35.49075975359343"/>
    <x v="2"/>
    <x v="0"/>
    <x v="1"/>
    <x v="1"/>
    <x v="1"/>
    <x v="1"/>
    <n v="1.3"/>
    <n v="408"/>
    <n v="4.22"/>
    <n v="67"/>
    <n v="1387"/>
    <n v="142.6"/>
    <n v="137"/>
    <n v="295"/>
    <n v="10.1"/>
    <x v="1"/>
  </r>
  <r>
    <n v="170"/>
    <n v="2692"/>
    <x v="1"/>
    <x v="0"/>
    <n v="48.662559890485966"/>
    <x v="0"/>
    <x v="0"/>
    <x v="1"/>
    <x v="1"/>
    <x v="1"/>
    <x v="1"/>
    <n v="1.2"/>
    <n v="390"/>
    <n v="3.61"/>
    <n v="32"/>
    <n v="1509"/>
    <n v="88.35"/>
    <n v="52"/>
    <n v="263"/>
    <n v="9"/>
    <x v="1"/>
  </r>
  <r>
    <n v="171"/>
    <n v="2574"/>
    <x v="1"/>
    <x v="0"/>
    <n v="52.668035592060235"/>
    <x v="0"/>
    <x v="0"/>
    <x v="1"/>
    <x v="1"/>
    <x v="1"/>
    <x v="1"/>
    <n v="0.5"/>
    <n v="309.5"/>
    <n v="4.5199999999999996"/>
    <n v="31"/>
    <n v="784"/>
    <n v="74.400000000000006"/>
    <n v="108"/>
    <n v="361"/>
    <n v="10.1"/>
    <x v="1"/>
  </r>
  <r>
    <n v="172"/>
    <n v="2301"/>
    <x v="1"/>
    <x v="1"/>
    <n v="49.869952087611225"/>
    <x v="0"/>
    <x v="0"/>
    <x v="1"/>
    <x v="1"/>
    <x v="0"/>
    <x v="1"/>
    <n v="1.3"/>
    <n v="205"/>
    <n v="3.34"/>
    <n v="65"/>
    <n v="1031"/>
    <n v="91.45"/>
    <n v="126"/>
    <n v="217"/>
    <n v="9.8000000000000007"/>
    <x v="1"/>
  </r>
  <r>
    <n v="173"/>
    <n v="2657"/>
    <x v="1"/>
    <x v="0"/>
    <n v="30.275154004106778"/>
    <x v="2"/>
    <x v="0"/>
    <x v="1"/>
    <x v="0"/>
    <x v="0"/>
    <x v="1"/>
    <n v="3"/>
    <n v="236"/>
    <n v="3.42"/>
    <n v="76"/>
    <n v="1403"/>
    <n v="89.9"/>
    <n v="86"/>
    <n v="493"/>
    <n v="9.8000000000000007"/>
    <x v="2"/>
  </r>
  <r>
    <n v="174"/>
    <n v="2644"/>
    <x v="1"/>
    <x v="0"/>
    <n v="55.567419575633132"/>
    <x v="0"/>
    <x v="0"/>
    <x v="1"/>
    <x v="1"/>
    <x v="1"/>
    <x v="1"/>
    <n v="0.5"/>
    <n v="309.5"/>
    <n v="3.85"/>
    <n v="63"/>
    <n v="663"/>
    <n v="79.05"/>
    <n v="108"/>
    <n v="311"/>
    <n v="9.6999999999999993"/>
    <x v="3"/>
  </r>
  <r>
    <n v="175"/>
    <n v="2624"/>
    <x v="1"/>
    <x v="1"/>
    <n v="52.153319644079396"/>
    <x v="0"/>
    <x v="0"/>
    <x v="1"/>
    <x v="1"/>
    <x v="1"/>
    <x v="1"/>
    <n v="0.8"/>
    <n v="283"/>
    <n v="3.8"/>
    <n v="152"/>
    <n v="718"/>
    <n v="108.5"/>
    <n v="168"/>
    <n v="340"/>
    <n v="10.1"/>
    <x v="1"/>
  </r>
  <r>
    <n v="176"/>
    <n v="1492"/>
    <x v="0"/>
    <x v="0"/>
    <n v="41.609856262833674"/>
    <x v="0"/>
    <x v="0"/>
    <x v="1"/>
    <x v="0"/>
    <x v="0"/>
    <x v="1"/>
    <n v="3.2"/>
    <n v="309.5"/>
    <n v="3.56"/>
    <n v="77"/>
    <n v="1790"/>
    <n v="139.5"/>
    <n v="108"/>
    <n v="149"/>
    <n v="10.1"/>
    <x v="0"/>
  </r>
  <r>
    <n v="177"/>
    <n v="2609"/>
    <x v="1"/>
    <x v="1"/>
    <n v="55.452429842573579"/>
    <x v="0"/>
    <x v="0"/>
    <x v="1"/>
    <x v="1"/>
    <x v="1"/>
    <x v="1"/>
    <n v="0.9"/>
    <n v="258"/>
    <n v="4.01"/>
    <n v="49"/>
    <n v="559"/>
    <n v="43.4"/>
    <n v="133"/>
    <n v="277"/>
    <n v="10.4"/>
    <x v="2"/>
  </r>
  <r>
    <n v="178"/>
    <n v="2580"/>
    <x v="1"/>
    <x v="0"/>
    <n v="70.004106776180691"/>
    <x v="1"/>
    <x v="0"/>
    <x v="1"/>
    <x v="1"/>
    <x v="1"/>
    <x v="1"/>
    <n v="0.6"/>
    <n v="309.5"/>
    <n v="4.08"/>
    <n v="51"/>
    <n v="665"/>
    <n v="74.400000000000006"/>
    <n v="108"/>
    <n v="325"/>
    <n v="10.199999999999999"/>
    <x v="0"/>
  </r>
  <r>
    <n v="179"/>
    <n v="2573"/>
    <x v="1"/>
    <x v="1"/>
    <n v="43.942505133470227"/>
    <x v="0"/>
    <x v="0"/>
    <x v="1"/>
    <x v="0"/>
    <x v="1"/>
    <x v="1"/>
    <n v="1.8"/>
    <n v="396"/>
    <n v="3.83"/>
    <n v="39"/>
    <n v="2148"/>
    <n v="102.3"/>
    <n v="133"/>
    <n v="278"/>
    <n v="9.9"/>
    <x v="0"/>
  </r>
  <r>
    <n v="180"/>
    <n v="2563"/>
    <x v="1"/>
    <x v="1"/>
    <n v="42.568104038329913"/>
    <x v="0"/>
    <x v="0"/>
    <x v="1"/>
    <x v="1"/>
    <x v="1"/>
    <x v="1"/>
    <n v="4.7"/>
    <n v="478"/>
    <n v="4.38"/>
    <n v="44"/>
    <n v="1629"/>
    <n v="237.15"/>
    <n v="76"/>
    <n v="175"/>
    <n v="10.4"/>
    <x v="1"/>
  </r>
  <r>
    <n v="181"/>
    <n v="2556"/>
    <x v="1"/>
    <x v="0"/>
    <n v="44.569472963723477"/>
    <x v="0"/>
    <x v="0"/>
    <x v="1"/>
    <x v="0"/>
    <x v="0"/>
    <x v="1"/>
    <n v="1.4"/>
    <n v="248"/>
    <n v="3.58"/>
    <n v="63"/>
    <n v="554"/>
    <n v="75.95"/>
    <n v="106"/>
    <n v="79"/>
    <n v="10.3"/>
    <x v="0"/>
  </r>
  <r>
    <n v="182"/>
    <n v="2555"/>
    <x v="1"/>
    <x v="0"/>
    <n v="56.944558521560573"/>
    <x v="0"/>
    <x v="0"/>
    <x v="1"/>
    <x v="0"/>
    <x v="1"/>
    <x v="1"/>
    <n v="0.6"/>
    <n v="309.5"/>
    <n v="3.69"/>
    <n v="161"/>
    <n v="674"/>
    <n v="26.35"/>
    <n v="108"/>
    <n v="539"/>
    <n v="9.9"/>
    <x v="2"/>
  </r>
  <r>
    <n v="183"/>
    <n v="2241"/>
    <x v="2"/>
    <x v="1"/>
    <n v="40.260095824777551"/>
    <x v="0"/>
    <x v="0"/>
    <x v="1"/>
    <x v="1"/>
    <x v="1"/>
    <x v="1"/>
    <n v="0.5"/>
    <n v="201"/>
    <n v="3.73"/>
    <n v="44"/>
    <n v="1345"/>
    <n v="54.25"/>
    <n v="145"/>
    <n v="445"/>
    <n v="10.1"/>
    <x v="2"/>
  </r>
  <r>
    <n v="184"/>
    <n v="974"/>
    <x v="0"/>
    <x v="1"/>
    <n v="37.607118412046546"/>
    <x v="2"/>
    <x v="0"/>
    <x v="1"/>
    <x v="0"/>
    <x v="1"/>
    <x v="1"/>
    <n v="11"/>
    <n v="674"/>
    <n v="3.55"/>
    <n v="358"/>
    <n v="2412"/>
    <n v="167.4"/>
    <n v="140"/>
    <n v="471"/>
    <n v="9.8000000000000007"/>
    <x v="1"/>
  </r>
  <r>
    <n v="185"/>
    <n v="2527"/>
    <x v="1"/>
    <x v="0"/>
    <n v="48.361396303901437"/>
    <x v="0"/>
    <x v="0"/>
    <x v="1"/>
    <x v="1"/>
    <x v="1"/>
    <x v="1"/>
    <n v="0.8"/>
    <n v="256"/>
    <n v="3.54"/>
    <n v="42"/>
    <n v="1132"/>
    <n v="74.400000000000006"/>
    <n v="94"/>
    <n v="192"/>
    <n v="10.5"/>
    <x v="1"/>
  </r>
  <r>
    <n v="186"/>
    <n v="1576"/>
    <x v="0"/>
    <x v="0"/>
    <n v="70.836413415468854"/>
    <x v="1"/>
    <x v="0"/>
    <x v="1"/>
    <x v="1"/>
    <x v="0"/>
    <x v="2"/>
    <n v="2"/>
    <n v="225"/>
    <n v="3.53"/>
    <n v="51"/>
    <n v="933"/>
    <n v="69.75"/>
    <n v="62"/>
    <n v="200"/>
    <n v="12.7"/>
    <x v="1"/>
  </r>
  <r>
    <n v="187"/>
    <n v="733"/>
    <x v="0"/>
    <x v="1"/>
    <n v="35.791923340177959"/>
    <x v="2"/>
    <x v="0"/>
    <x v="1"/>
    <x v="0"/>
    <x v="1"/>
    <x v="1"/>
    <n v="14"/>
    <n v="808"/>
    <n v="3.43"/>
    <n v="251"/>
    <n v="2870"/>
    <n v="153.44999999999999"/>
    <n v="137"/>
    <n v="268"/>
    <n v="11.5"/>
    <x v="1"/>
  </r>
  <r>
    <n v="188"/>
    <n v="2332"/>
    <x v="1"/>
    <x v="0"/>
    <n v="62.622861054072551"/>
    <x v="1"/>
    <x v="0"/>
    <x v="1"/>
    <x v="0"/>
    <x v="1"/>
    <x v="1"/>
    <n v="0.7"/>
    <n v="187"/>
    <n v="3.48"/>
    <n v="41"/>
    <n v="654"/>
    <n v="120.9"/>
    <n v="98"/>
    <n v="164"/>
    <n v="11"/>
    <x v="0"/>
  </r>
  <r>
    <n v="189"/>
    <n v="2456"/>
    <x v="1"/>
    <x v="1"/>
    <n v="50.647501711156742"/>
    <x v="0"/>
    <x v="0"/>
    <x v="1"/>
    <x v="0"/>
    <x v="1"/>
    <x v="1"/>
    <n v="1.3"/>
    <n v="360"/>
    <n v="3.63"/>
    <n v="52"/>
    <n v="1812"/>
    <n v="97.65"/>
    <n v="164"/>
    <n v="256"/>
    <n v="9.9"/>
    <x v="1"/>
  </r>
  <r>
    <n v="190"/>
    <n v="2504"/>
    <x v="1"/>
    <x v="0"/>
    <n v="54.527036276522928"/>
    <x v="0"/>
    <x v="0"/>
    <x v="1"/>
    <x v="1"/>
    <x v="0"/>
    <x v="1"/>
    <n v="2.2999999999999998"/>
    <n v="309.5"/>
    <n v="3.93"/>
    <n v="24"/>
    <n v="1828"/>
    <n v="133.30000000000001"/>
    <n v="108"/>
    <n v="327"/>
    <n v="10.199999999999999"/>
    <x v="2"/>
  </r>
  <r>
    <n v="191"/>
    <n v="216"/>
    <x v="0"/>
    <x v="1"/>
    <n v="52.692676249144419"/>
    <x v="0"/>
    <x v="0"/>
    <x v="0"/>
    <x v="0"/>
    <x v="0"/>
    <x v="1"/>
    <n v="24.5"/>
    <n v="1092"/>
    <n v="3.35"/>
    <n v="233"/>
    <n v="3740"/>
    <n v="147.25"/>
    <n v="432"/>
    <n v="399"/>
    <n v="15.2"/>
    <x v="0"/>
  </r>
  <r>
    <n v="192"/>
    <n v="2443"/>
    <x v="1"/>
    <x v="0"/>
    <n v="52.720054757015745"/>
    <x v="0"/>
    <x v="0"/>
    <x v="1"/>
    <x v="0"/>
    <x v="1"/>
    <x v="1"/>
    <n v="0.9"/>
    <n v="308"/>
    <n v="3.69"/>
    <n v="67"/>
    <n v="696"/>
    <n v="51.15"/>
    <n v="101"/>
    <n v="344"/>
    <n v="9.8000000000000007"/>
    <x v="0"/>
  </r>
  <r>
    <n v="193"/>
    <n v="797"/>
    <x v="0"/>
    <x v="1"/>
    <n v="56.772073921971256"/>
    <x v="0"/>
    <x v="0"/>
    <x v="1"/>
    <x v="1"/>
    <x v="1"/>
    <x v="1"/>
    <n v="10.8"/>
    <n v="932"/>
    <n v="3.19"/>
    <n v="267"/>
    <n v="2184"/>
    <n v="161.19999999999999"/>
    <n v="157"/>
    <n v="382"/>
    <n v="10.4"/>
    <x v="0"/>
  </r>
  <r>
    <n v="194"/>
    <n v="2449"/>
    <x v="1"/>
    <x v="0"/>
    <n v="44.396988364134153"/>
    <x v="0"/>
    <x v="0"/>
    <x v="1"/>
    <x v="1"/>
    <x v="1"/>
    <x v="1"/>
    <n v="1.5"/>
    <n v="293"/>
    <n v="4.3"/>
    <n v="50"/>
    <n v="975"/>
    <n v="125.55"/>
    <n v="56"/>
    <n v="336"/>
    <n v="9.1"/>
    <x v="2"/>
  </r>
  <r>
    <n v="195"/>
    <n v="2330"/>
    <x v="1"/>
    <x v="0"/>
    <n v="29.555099247091032"/>
    <x v="2"/>
    <x v="0"/>
    <x v="1"/>
    <x v="0"/>
    <x v="1"/>
    <x v="1"/>
    <n v="3.7"/>
    <n v="347"/>
    <n v="3.9"/>
    <n v="76"/>
    <n v="2544"/>
    <n v="221.65"/>
    <n v="90"/>
    <n v="129"/>
    <n v="11.5"/>
    <x v="0"/>
  </r>
  <r>
    <n v="196"/>
    <n v="2363"/>
    <x v="1"/>
    <x v="0"/>
    <n v="57.040383299110196"/>
    <x v="0"/>
    <x v="0"/>
    <x v="1"/>
    <x v="0"/>
    <x v="0"/>
    <x v="1"/>
    <n v="1.4"/>
    <n v="226"/>
    <n v="3.36"/>
    <n v="13"/>
    <n v="810"/>
    <n v="72.849999999999994"/>
    <n v="62"/>
    <n v="117"/>
    <n v="11.6"/>
    <x v="0"/>
  </r>
  <r>
    <n v="197"/>
    <n v="2365"/>
    <x v="1"/>
    <x v="0"/>
    <n v="44.62696783025325"/>
    <x v="0"/>
    <x v="0"/>
    <x v="1"/>
    <x v="1"/>
    <x v="1"/>
    <x v="1"/>
    <n v="0.6"/>
    <n v="266"/>
    <n v="3.97"/>
    <n v="25"/>
    <n v="1164"/>
    <n v="102.3"/>
    <n v="102"/>
    <n v="201"/>
    <n v="10.1"/>
    <x v="2"/>
  </r>
  <r>
    <n v="198"/>
    <n v="2357"/>
    <x v="1"/>
    <x v="1"/>
    <n v="35.797399041752222"/>
    <x v="2"/>
    <x v="0"/>
    <x v="1"/>
    <x v="1"/>
    <x v="0"/>
    <x v="1"/>
    <n v="0.7"/>
    <n v="286"/>
    <n v="2.9"/>
    <n v="38"/>
    <n v="1692"/>
    <n v="141.05000000000001"/>
    <n v="90"/>
    <n v="381"/>
    <n v="9.6"/>
    <x v="2"/>
  </r>
  <r>
    <n v="199"/>
    <n v="1592"/>
    <x v="1"/>
    <x v="0"/>
    <n v="40.717316906228611"/>
    <x v="0"/>
    <x v="0"/>
    <x v="1"/>
    <x v="1"/>
    <x v="1"/>
    <x v="1"/>
    <n v="2.1"/>
    <n v="392"/>
    <n v="3.43"/>
    <n v="52"/>
    <n v="1395"/>
    <n v="184.45"/>
    <n v="194"/>
    <n v="328"/>
    <n v="10.199999999999999"/>
    <x v="1"/>
  </r>
  <r>
    <n v="200"/>
    <n v="2318"/>
    <x v="1"/>
    <x v="1"/>
    <n v="32.232717316906232"/>
    <x v="2"/>
    <x v="0"/>
    <x v="1"/>
    <x v="1"/>
    <x v="0"/>
    <x v="1"/>
    <n v="4.7"/>
    <n v="236"/>
    <n v="3.55"/>
    <n v="112"/>
    <n v="1391"/>
    <n v="137.94999999999999"/>
    <n v="114"/>
    <n v="332"/>
    <n v="9.9"/>
    <x v="1"/>
  </r>
  <r>
    <n v="201"/>
    <n v="2294"/>
    <x v="1"/>
    <x v="1"/>
    <n v="41.092402464065707"/>
    <x v="0"/>
    <x v="0"/>
    <x v="1"/>
    <x v="0"/>
    <x v="1"/>
    <x v="1"/>
    <n v="0.6"/>
    <n v="235"/>
    <n v="3.2"/>
    <n v="26"/>
    <n v="1758"/>
    <n v="106.95"/>
    <n v="67"/>
    <n v="228"/>
    <n v="10.8"/>
    <x v="0"/>
  </r>
  <r>
    <n v="202"/>
    <n v="2272"/>
    <x v="1"/>
    <x v="0"/>
    <n v="61.639972621492127"/>
    <x v="1"/>
    <x v="0"/>
    <x v="1"/>
    <x v="1"/>
    <x v="1"/>
    <x v="1"/>
    <n v="0.5"/>
    <n v="223"/>
    <n v="3.8"/>
    <n v="15"/>
    <n v="1044"/>
    <n v="80.599999999999994"/>
    <n v="89"/>
    <n v="514"/>
    <n v="10"/>
    <x v="2"/>
  </r>
  <r>
    <n v="203"/>
    <n v="2221"/>
    <x v="1"/>
    <x v="1"/>
    <n v="37.056810403832991"/>
    <x v="2"/>
    <x v="0"/>
    <x v="1"/>
    <x v="0"/>
    <x v="1"/>
    <x v="1"/>
    <n v="0.5"/>
    <n v="149"/>
    <n v="4.04"/>
    <n v="227"/>
    <n v="598"/>
    <n v="52.7"/>
    <n v="57"/>
    <n v="166"/>
    <n v="9.9"/>
    <x v="2"/>
  </r>
  <r>
    <n v="204"/>
    <n v="2090"/>
    <x v="0"/>
    <x v="1"/>
    <n v="62.579055441478438"/>
    <x v="1"/>
    <x v="0"/>
    <x v="1"/>
    <x v="1"/>
    <x v="1"/>
    <x v="1"/>
    <n v="0.7"/>
    <n v="255"/>
    <n v="3.74"/>
    <n v="23"/>
    <n v="1024"/>
    <n v="77.5"/>
    <n v="58"/>
    <n v="281"/>
    <n v="10.199999999999999"/>
    <x v="1"/>
  </r>
  <r>
    <n v="205"/>
    <n v="2081"/>
    <x v="0"/>
    <x v="0"/>
    <n v="48.977412731006162"/>
    <x v="0"/>
    <x v="0"/>
    <x v="0"/>
    <x v="1"/>
    <x v="1"/>
    <x v="1"/>
    <n v="2.5"/>
    <n v="382"/>
    <n v="3.55"/>
    <n v="108"/>
    <n v="1516"/>
    <n v="238.7"/>
    <n v="108"/>
    <n v="126"/>
    <n v="10.3"/>
    <x v="1"/>
  </r>
  <r>
    <n v="206"/>
    <n v="2255"/>
    <x v="1"/>
    <x v="0"/>
    <n v="61.990417522245039"/>
    <x v="1"/>
    <x v="0"/>
    <x v="1"/>
    <x v="1"/>
    <x v="1"/>
    <x v="1"/>
    <n v="0.6"/>
    <n v="213"/>
    <n v="4.07"/>
    <n v="12"/>
    <n v="5300"/>
    <n v="57.35"/>
    <n v="68"/>
    <n v="240"/>
    <n v="11"/>
    <x v="3"/>
  </r>
  <r>
    <n v="207"/>
    <n v="2171"/>
    <x v="1"/>
    <x v="0"/>
    <n v="72.772073921971256"/>
    <x v="1"/>
    <x v="0"/>
    <x v="1"/>
    <x v="1"/>
    <x v="1"/>
    <x v="2"/>
    <n v="0.6"/>
    <n v="309.5"/>
    <n v="3.33"/>
    <n v="14"/>
    <n v="733"/>
    <n v="85.25"/>
    <n v="108"/>
    <n v="259"/>
    <n v="10.1"/>
    <x v="0"/>
  </r>
  <r>
    <n v="208"/>
    <n v="904"/>
    <x v="0"/>
    <x v="0"/>
    <n v="61.295003422313485"/>
    <x v="1"/>
    <x v="0"/>
    <x v="1"/>
    <x v="0"/>
    <x v="1"/>
    <x v="1"/>
    <n v="3.9"/>
    <n v="396"/>
    <n v="3.2"/>
    <n v="58"/>
    <n v="1440"/>
    <n v="153.44999999999999"/>
    <n v="131"/>
    <n v="156"/>
    <n v="10"/>
    <x v="0"/>
  </r>
  <r>
    <n v="209"/>
    <n v="2216"/>
    <x v="1"/>
    <x v="1"/>
    <n v="52.624229979466122"/>
    <x v="0"/>
    <x v="0"/>
    <x v="1"/>
    <x v="0"/>
    <x v="0"/>
    <x v="1"/>
    <n v="0.7"/>
    <n v="252"/>
    <n v="4.01"/>
    <n v="11"/>
    <n v="1210"/>
    <n v="72.849999999999994"/>
    <n v="58"/>
    <n v="309"/>
    <n v="9.5"/>
    <x v="2"/>
  </r>
  <r>
    <n v="210"/>
    <n v="2224"/>
    <x v="1"/>
    <x v="1"/>
    <n v="49.763175906913077"/>
    <x v="0"/>
    <x v="1"/>
    <x v="1"/>
    <x v="0"/>
    <x v="1"/>
    <x v="1"/>
    <n v="0.9"/>
    <n v="346"/>
    <n v="3.37"/>
    <n v="81"/>
    <n v="1098"/>
    <n v="122.45"/>
    <n v="90"/>
    <n v="298"/>
    <n v="10"/>
    <x v="2"/>
  </r>
  <r>
    <n v="211"/>
    <n v="2195"/>
    <x v="1"/>
    <x v="1"/>
    <n v="52.91444216290212"/>
    <x v="0"/>
    <x v="0"/>
    <x v="1"/>
    <x v="1"/>
    <x v="1"/>
    <x v="1"/>
    <n v="1.3"/>
    <n v="309.5"/>
    <n v="3.76"/>
    <n v="27"/>
    <n v="1282"/>
    <n v="100.75"/>
    <n v="108"/>
    <n v="114"/>
    <n v="10.3"/>
    <x v="1"/>
  </r>
  <r>
    <n v="212"/>
    <n v="2176"/>
    <x v="1"/>
    <x v="1"/>
    <n v="47.263518138261468"/>
    <x v="0"/>
    <x v="0"/>
    <x v="1"/>
    <x v="1"/>
    <x v="1"/>
    <x v="1"/>
    <n v="1.2"/>
    <n v="232"/>
    <n v="3.98"/>
    <n v="11"/>
    <n v="1074"/>
    <n v="100.75"/>
    <n v="99"/>
    <n v="223"/>
    <n v="9.9"/>
    <x v="1"/>
  </r>
  <r>
    <n v="213"/>
    <n v="2178"/>
    <x v="1"/>
    <x v="0"/>
    <n v="50.203969883641342"/>
    <x v="0"/>
    <x v="0"/>
    <x v="1"/>
    <x v="1"/>
    <x v="0"/>
    <x v="1"/>
    <n v="0.5"/>
    <n v="400"/>
    <n v="3.4"/>
    <n v="9"/>
    <n v="1134"/>
    <n v="96.1"/>
    <n v="55"/>
    <n v="356"/>
    <n v="10.199999999999999"/>
    <x v="1"/>
  </r>
  <r>
    <n v="214"/>
    <n v="1786"/>
    <x v="0"/>
    <x v="1"/>
    <n v="69.347022587268995"/>
    <x v="1"/>
    <x v="0"/>
    <x v="1"/>
    <x v="0"/>
    <x v="1"/>
    <x v="1"/>
    <n v="0.9"/>
    <n v="404"/>
    <n v="3.43"/>
    <n v="34"/>
    <n v="1866"/>
    <n v="79.05"/>
    <n v="224"/>
    <n v="236"/>
    <n v="9.9"/>
    <x v="1"/>
  </r>
  <r>
    <n v="215"/>
    <n v="1080"/>
    <x v="0"/>
    <x v="1"/>
    <n v="41.169062286105408"/>
    <x v="0"/>
    <x v="0"/>
    <x v="1"/>
    <x v="1"/>
    <x v="1"/>
    <x v="1"/>
    <n v="5.9"/>
    <n v="1276"/>
    <n v="3.85"/>
    <n v="141"/>
    <n v="1204"/>
    <n v="203.05"/>
    <n v="157"/>
    <n v="216"/>
    <n v="10.7"/>
    <x v="1"/>
  </r>
  <r>
    <n v="216"/>
    <n v="2168"/>
    <x v="1"/>
    <x v="0"/>
    <n v="59.16495550992471"/>
    <x v="0"/>
    <x v="0"/>
    <x v="1"/>
    <x v="1"/>
    <x v="1"/>
    <x v="1"/>
    <n v="0.5"/>
    <n v="309.5"/>
    <n v="3.68"/>
    <n v="20"/>
    <n v="856"/>
    <n v="55.8"/>
    <n v="108"/>
    <n v="146"/>
    <n v="10.4"/>
    <x v="1"/>
  </r>
  <r>
    <n v="217"/>
    <n v="790"/>
    <x v="0"/>
    <x v="1"/>
    <n v="36.079397672826829"/>
    <x v="2"/>
    <x v="0"/>
    <x v="1"/>
    <x v="0"/>
    <x v="1"/>
    <x v="1"/>
    <n v="11.4"/>
    <n v="608"/>
    <n v="3.31"/>
    <n v="65"/>
    <n v="1790"/>
    <n v="151.9"/>
    <n v="210"/>
    <n v="298"/>
    <n v="10.8"/>
    <x v="0"/>
  </r>
  <r>
    <n v="218"/>
    <n v="2170"/>
    <x v="1"/>
    <x v="0"/>
    <n v="34.595482546201232"/>
    <x v="2"/>
    <x v="0"/>
    <x v="1"/>
    <x v="1"/>
    <x v="1"/>
    <x v="1"/>
    <n v="0.5"/>
    <n v="309.5"/>
    <n v="3.89"/>
    <n v="29"/>
    <n v="897"/>
    <n v="66.650000000000006"/>
    <n v="108"/>
    <n v="423"/>
    <n v="10.1"/>
    <x v="3"/>
  </r>
  <r>
    <n v="219"/>
    <n v="2157"/>
    <x v="1"/>
    <x v="1"/>
    <n v="42.713210130047912"/>
    <x v="0"/>
    <x v="0"/>
    <x v="1"/>
    <x v="1"/>
    <x v="1"/>
    <x v="1"/>
    <n v="1.6"/>
    <n v="215"/>
    <n v="4.17"/>
    <n v="67"/>
    <n v="936"/>
    <n v="134.85"/>
    <n v="85"/>
    <n v="176"/>
    <n v="9.6"/>
    <x v="1"/>
  </r>
  <r>
    <n v="220"/>
    <n v="1235"/>
    <x v="0"/>
    <x v="0"/>
    <n v="63.630390143737166"/>
    <x v="1"/>
    <x v="0"/>
    <x v="1"/>
    <x v="1"/>
    <x v="0"/>
    <x v="1"/>
    <n v="3.8"/>
    <n v="426"/>
    <n v="3.22"/>
    <n v="96"/>
    <n v="2716"/>
    <n v="210.8"/>
    <n v="113"/>
    <n v="228"/>
    <n v="10.6"/>
    <x v="2"/>
  </r>
  <r>
    <n v="221"/>
    <n v="2050"/>
    <x v="1"/>
    <x v="1"/>
    <n v="56.629705681040384"/>
    <x v="0"/>
    <x v="0"/>
    <x v="1"/>
    <x v="0"/>
    <x v="1"/>
    <x v="1"/>
    <n v="0.9"/>
    <n v="360"/>
    <n v="3.65"/>
    <n v="72"/>
    <n v="3186"/>
    <n v="94.55"/>
    <n v="154"/>
    <n v="269"/>
    <n v="9.6999999999999993"/>
    <x v="0"/>
  </r>
  <r>
    <n v="222"/>
    <n v="597"/>
    <x v="0"/>
    <x v="1"/>
    <n v="46.264202600958249"/>
    <x v="0"/>
    <x v="0"/>
    <x v="1"/>
    <x v="0"/>
    <x v="1"/>
    <x v="1"/>
    <n v="4.5"/>
    <n v="372"/>
    <n v="3.38"/>
    <n v="227"/>
    <n v="2310"/>
    <n v="167.4"/>
    <n v="135"/>
    <n v="240"/>
    <n v="12.4"/>
    <x v="1"/>
  </r>
  <r>
    <n v="223"/>
    <n v="334"/>
    <x v="0"/>
    <x v="0"/>
    <n v="61.242984257357975"/>
    <x v="1"/>
    <x v="0"/>
    <x v="0"/>
    <x v="0"/>
    <x v="1"/>
    <x v="0"/>
    <n v="14.1"/>
    <n v="448"/>
    <n v="2.4300000000000002"/>
    <n v="123"/>
    <n v="1833"/>
    <n v="134"/>
    <n v="155"/>
    <n v="210"/>
    <n v="11"/>
    <x v="0"/>
  </r>
  <r>
    <n v="224"/>
    <n v="1945"/>
    <x v="1"/>
    <x v="0"/>
    <n v="38.620123203285424"/>
    <x v="2"/>
    <x v="0"/>
    <x v="1"/>
    <x v="1"/>
    <x v="1"/>
    <x v="1"/>
    <n v="1"/>
    <n v="309"/>
    <n v="3.66"/>
    <n v="67"/>
    <n v="1214"/>
    <n v="158.1"/>
    <n v="101"/>
    <n v="309"/>
    <n v="9.6999999999999993"/>
    <x v="1"/>
  </r>
  <r>
    <n v="225"/>
    <n v="2022"/>
    <x v="1"/>
    <x v="0"/>
    <n v="38.770704996577685"/>
    <x v="2"/>
    <x v="0"/>
    <x v="1"/>
    <x v="1"/>
    <x v="1"/>
    <x v="1"/>
    <n v="0.7"/>
    <n v="274"/>
    <n v="3.66"/>
    <n v="108"/>
    <n v="1065"/>
    <n v="88.35"/>
    <n v="135"/>
    <n v="251"/>
    <n v="10.1"/>
    <x v="2"/>
  </r>
  <r>
    <n v="226"/>
    <n v="1978"/>
    <x v="1"/>
    <x v="1"/>
    <n v="56.695414099931554"/>
    <x v="0"/>
    <x v="0"/>
    <x v="1"/>
    <x v="0"/>
    <x v="1"/>
    <x v="1"/>
    <n v="0.5"/>
    <n v="223"/>
    <n v="3.7"/>
    <n v="39"/>
    <n v="884"/>
    <n v="75.95"/>
    <n v="104"/>
    <n v="231"/>
    <n v="9.6"/>
    <x v="1"/>
  </r>
  <r>
    <n v="227"/>
    <n v="999"/>
    <x v="0"/>
    <x v="0"/>
    <n v="58.951403148528406"/>
    <x v="0"/>
    <x v="1"/>
    <x v="1"/>
    <x v="1"/>
    <x v="1"/>
    <x v="1"/>
    <n v="2.2999999999999998"/>
    <n v="316"/>
    <n v="3.35"/>
    <n v="172"/>
    <n v="1601"/>
    <n v="179.8"/>
    <n v="63"/>
    <n v="394"/>
    <n v="9.6999999999999993"/>
    <x v="2"/>
  </r>
  <r>
    <n v="228"/>
    <n v="1967"/>
    <x v="1"/>
    <x v="1"/>
    <n v="36.922655715263517"/>
    <x v="2"/>
    <x v="0"/>
    <x v="1"/>
    <x v="1"/>
    <x v="1"/>
    <x v="1"/>
    <n v="0.7"/>
    <n v="215"/>
    <n v="3.35"/>
    <n v="41"/>
    <n v="645"/>
    <n v="93"/>
    <n v="74"/>
    <n v="165"/>
    <n v="9.6"/>
    <x v="1"/>
  </r>
  <r>
    <n v="229"/>
    <n v="348"/>
    <x v="0"/>
    <x v="0"/>
    <n v="62.414784394250511"/>
    <x v="1"/>
    <x v="0"/>
    <x v="0"/>
    <x v="0"/>
    <x v="1"/>
    <x v="2"/>
    <n v="4.5"/>
    <n v="191"/>
    <n v="3.05"/>
    <n v="200"/>
    <n v="1020"/>
    <n v="175.15"/>
    <n v="118"/>
    <n v="139"/>
    <n v="11.4"/>
    <x v="0"/>
  </r>
  <r>
    <n v="230"/>
    <n v="1979"/>
    <x v="1"/>
    <x v="1"/>
    <n v="34.609171800136892"/>
    <x v="2"/>
    <x v="0"/>
    <x v="1"/>
    <x v="0"/>
    <x v="0"/>
    <x v="1"/>
    <n v="3.3"/>
    <n v="302"/>
    <n v="3.41"/>
    <n v="51"/>
    <n v="310"/>
    <n v="83.7"/>
    <n v="44"/>
    <n v="95"/>
    <n v="11.5"/>
    <x v="0"/>
  </r>
  <r>
    <n v="231"/>
    <n v="1165"/>
    <x v="0"/>
    <x v="1"/>
    <n v="58.335386721423681"/>
    <x v="0"/>
    <x v="0"/>
    <x v="1"/>
    <x v="0"/>
    <x v="0"/>
    <x v="1"/>
    <n v="3.4"/>
    <n v="518"/>
    <n v="1.96"/>
    <n v="115"/>
    <n v="2250"/>
    <n v="203.05"/>
    <n v="90"/>
    <n v="190"/>
    <n v="10.7"/>
    <x v="0"/>
  </r>
  <r>
    <n v="232"/>
    <n v="1951"/>
    <x v="1"/>
    <x v="0"/>
    <n v="50.182067077344286"/>
    <x v="0"/>
    <x v="0"/>
    <x v="1"/>
    <x v="0"/>
    <x v="1"/>
    <x v="1"/>
    <n v="0.4"/>
    <n v="267"/>
    <n v="3.02"/>
    <n v="47"/>
    <n v="1001"/>
    <n v="133.30000000000001"/>
    <n v="87"/>
    <n v="265"/>
    <n v="10.6"/>
    <x v="1"/>
  </r>
  <r>
    <n v="233"/>
    <n v="1932"/>
    <x v="1"/>
    <x v="0"/>
    <n v="42.685831622176593"/>
    <x v="0"/>
    <x v="0"/>
    <x v="1"/>
    <x v="0"/>
    <x v="0"/>
    <x v="1"/>
    <n v="0.9"/>
    <n v="514"/>
    <n v="3.06"/>
    <n v="412"/>
    <n v="2622"/>
    <n v="105.4"/>
    <n v="87"/>
    <n v="284"/>
    <n v="9.8000000000000007"/>
    <x v="0"/>
  </r>
  <r>
    <n v="234"/>
    <n v="1776"/>
    <x v="1"/>
    <x v="1"/>
    <n v="34.379192334017795"/>
    <x v="2"/>
    <x v="0"/>
    <x v="1"/>
    <x v="1"/>
    <x v="1"/>
    <x v="1"/>
    <n v="0.9"/>
    <n v="578"/>
    <n v="3.35"/>
    <n v="78"/>
    <n v="976"/>
    <n v="116.25"/>
    <n v="177"/>
    <n v="322"/>
    <n v="11.2"/>
    <x v="2"/>
  </r>
  <r>
    <n v="235"/>
    <n v="1882"/>
    <x v="1"/>
    <x v="1"/>
    <n v="33.182751540041068"/>
    <x v="2"/>
    <x v="0"/>
    <x v="1"/>
    <x v="0"/>
    <x v="1"/>
    <x v="1"/>
    <n v="13"/>
    <n v="1336"/>
    <n v="4.16"/>
    <n v="71"/>
    <n v="3510"/>
    <n v="209.25"/>
    <n v="111"/>
    <n v="338"/>
    <n v="11.9"/>
    <x v="1"/>
  </r>
  <r>
    <n v="236"/>
    <n v="1908"/>
    <x v="1"/>
    <x v="0"/>
    <n v="38.381930184804929"/>
    <x v="2"/>
    <x v="0"/>
    <x v="1"/>
    <x v="0"/>
    <x v="0"/>
    <x v="1"/>
    <n v="1.5"/>
    <n v="253"/>
    <n v="3.79"/>
    <n v="67"/>
    <n v="1006"/>
    <n v="139.5"/>
    <n v="106"/>
    <n v="341"/>
    <n v="9.6999999999999993"/>
    <x v="1"/>
  </r>
  <r>
    <n v="237"/>
    <n v="1882"/>
    <x v="1"/>
    <x v="0"/>
    <n v="59.761806981519506"/>
    <x v="0"/>
    <x v="0"/>
    <x v="1"/>
    <x v="0"/>
    <x v="1"/>
    <x v="1"/>
    <n v="1.6"/>
    <n v="442"/>
    <n v="2.95"/>
    <n v="105"/>
    <n v="820"/>
    <n v="85.25"/>
    <n v="108"/>
    <n v="181"/>
    <n v="10.1"/>
    <x v="1"/>
  </r>
  <r>
    <n v="238"/>
    <n v="1874"/>
    <x v="1"/>
    <x v="1"/>
    <n v="66.412046543463376"/>
    <x v="1"/>
    <x v="0"/>
    <x v="1"/>
    <x v="1"/>
    <x v="1"/>
    <x v="2"/>
    <n v="0.6"/>
    <n v="280"/>
    <n v="3.35"/>
    <n v="73"/>
    <n v="1093"/>
    <n v="128.65"/>
    <n v="81"/>
    <n v="295"/>
    <n v="9.8000000000000007"/>
    <x v="2"/>
  </r>
  <r>
    <n v="239"/>
    <n v="694"/>
    <x v="0"/>
    <x v="0"/>
    <n v="46.789869952087614"/>
    <x v="0"/>
    <x v="0"/>
    <x v="1"/>
    <x v="0"/>
    <x v="0"/>
    <x v="1"/>
    <n v="0.8"/>
    <n v="300"/>
    <n v="2.94"/>
    <n v="231"/>
    <n v="1794"/>
    <n v="130.19999999999999"/>
    <n v="99"/>
    <n v="319"/>
    <n v="11.2"/>
    <x v="0"/>
  </r>
  <r>
    <n v="240"/>
    <n v="1831"/>
    <x v="1"/>
    <x v="0"/>
    <n v="56.079397672826829"/>
    <x v="0"/>
    <x v="0"/>
    <x v="1"/>
    <x v="1"/>
    <x v="1"/>
    <x v="1"/>
    <n v="0.4"/>
    <n v="232"/>
    <n v="3.72"/>
    <n v="24"/>
    <n v="369"/>
    <n v="51.15"/>
    <n v="139"/>
    <n v="326"/>
    <n v="10.1"/>
    <x v="1"/>
  </r>
  <r>
    <n v="241"/>
    <n v="837"/>
    <x v="2"/>
    <x v="1"/>
    <n v="41.374401095140314"/>
    <x v="0"/>
    <x v="0"/>
    <x v="1"/>
    <x v="0"/>
    <x v="0"/>
    <x v="1"/>
    <n v="4.4000000000000004"/>
    <n v="316"/>
    <n v="3.62"/>
    <n v="308"/>
    <n v="1119"/>
    <n v="114.7"/>
    <n v="322"/>
    <n v="282"/>
    <n v="9.8000000000000007"/>
    <x v="0"/>
  </r>
  <r>
    <n v="242"/>
    <n v="1810"/>
    <x v="1"/>
    <x v="0"/>
    <n v="64.572210814510612"/>
    <x v="1"/>
    <x v="0"/>
    <x v="1"/>
    <x v="0"/>
    <x v="1"/>
    <x v="1"/>
    <n v="1.9"/>
    <n v="354"/>
    <n v="2.97"/>
    <n v="86"/>
    <n v="1553"/>
    <n v="196.85"/>
    <n v="152"/>
    <n v="277"/>
    <n v="9.9"/>
    <x v="1"/>
  </r>
  <r>
    <n v="243"/>
    <n v="930"/>
    <x v="0"/>
    <x v="1"/>
    <n v="67.488021902806295"/>
    <x v="1"/>
    <x v="0"/>
    <x v="1"/>
    <x v="0"/>
    <x v="1"/>
    <x v="1"/>
    <n v="8"/>
    <n v="468"/>
    <n v="2.81"/>
    <n v="139"/>
    <n v="2009"/>
    <n v="198.4"/>
    <n v="139"/>
    <n v="233"/>
    <n v="10"/>
    <x v="0"/>
  </r>
  <r>
    <n v="244"/>
    <n v="1690"/>
    <x v="0"/>
    <x v="0"/>
    <n v="44.829568788501028"/>
    <x v="0"/>
    <x v="0"/>
    <x v="1"/>
    <x v="1"/>
    <x v="0"/>
    <x v="1"/>
    <n v="3.9"/>
    <n v="350"/>
    <n v="3.22"/>
    <n v="121"/>
    <n v="1268"/>
    <n v="272.8"/>
    <n v="231"/>
    <n v="270"/>
    <n v="9.6"/>
    <x v="1"/>
  </r>
  <r>
    <n v="245"/>
    <n v="1790"/>
    <x v="1"/>
    <x v="1"/>
    <n v="45.771389459274467"/>
    <x v="0"/>
    <x v="0"/>
    <x v="1"/>
    <x v="0"/>
    <x v="1"/>
    <x v="1"/>
    <n v="0.6"/>
    <n v="273"/>
    <n v="3.65"/>
    <n v="48"/>
    <n v="794"/>
    <n v="52.7"/>
    <n v="214"/>
    <n v="305"/>
    <n v="9.6"/>
    <x v="1"/>
  </r>
  <r>
    <n v="246"/>
    <n v="1435"/>
    <x v="2"/>
    <x v="0"/>
    <n v="32.950034223134843"/>
    <x v="2"/>
    <x v="0"/>
    <x v="1"/>
    <x v="0"/>
    <x v="1"/>
    <x v="1"/>
    <n v="2.1"/>
    <n v="387"/>
    <n v="3.77"/>
    <n v="63"/>
    <n v="1613"/>
    <n v="150.35"/>
    <n v="33"/>
    <n v="185"/>
    <n v="10.1"/>
    <x v="0"/>
  </r>
  <r>
    <n v="247"/>
    <n v="732"/>
    <x v="2"/>
    <x v="0"/>
    <n v="41.221081451060918"/>
    <x v="0"/>
    <x v="0"/>
    <x v="1"/>
    <x v="0"/>
    <x v="1"/>
    <x v="1"/>
    <n v="6.1"/>
    <n v="1712"/>
    <n v="2.83"/>
    <n v="89"/>
    <n v="3681"/>
    <n v="158.1"/>
    <n v="139"/>
    <n v="297"/>
    <n v="10"/>
    <x v="1"/>
  </r>
  <r>
    <n v="248"/>
    <n v="1785"/>
    <x v="1"/>
    <x v="1"/>
    <n v="55.416837782340863"/>
    <x v="0"/>
    <x v="0"/>
    <x v="1"/>
    <x v="0"/>
    <x v="1"/>
    <x v="1"/>
    <n v="0.8"/>
    <n v="324"/>
    <n v="3.51"/>
    <n v="39"/>
    <n v="1237"/>
    <n v="66.650000000000006"/>
    <n v="146"/>
    <n v="371"/>
    <n v="10"/>
    <x v="1"/>
  </r>
  <r>
    <n v="249"/>
    <n v="1783"/>
    <x v="1"/>
    <x v="0"/>
    <n v="47.980835044490078"/>
    <x v="0"/>
    <x v="0"/>
    <x v="1"/>
    <x v="1"/>
    <x v="0"/>
    <x v="1"/>
    <n v="1.3"/>
    <n v="242"/>
    <n v="3.2"/>
    <n v="35"/>
    <n v="1556"/>
    <n v="175.15"/>
    <n v="71"/>
    <n v="195"/>
    <n v="10.6"/>
    <x v="0"/>
  </r>
  <r>
    <n v="250"/>
    <n v="1769"/>
    <x v="1"/>
    <x v="1"/>
    <n v="40.791238877481177"/>
    <x v="0"/>
    <x v="0"/>
    <x v="1"/>
    <x v="0"/>
    <x v="1"/>
    <x v="1"/>
    <n v="0.6"/>
    <n v="299"/>
    <n v="3.36"/>
    <n v="23"/>
    <n v="2769"/>
    <n v="220.1"/>
    <n v="85"/>
    <n v="303"/>
    <n v="10.9"/>
    <x v="0"/>
  </r>
  <r>
    <n v="251"/>
    <n v="1457"/>
    <x v="1"/>
    <x v="0"/>
    <n v="56.974674880219027"/>
    <x v="0"/>
    <x v="0"/>
    <x v="1"/>
    <x v="1"/>
    <x v="1"/>
    <x v="1"/>
    <n v="0.5"/>
    <n v="227"/>
    <n v="3.61"/>
    <n v="40"/>
    <n v="676"/>
    <n v="83"/>
    <n v="120"/>
    <n v="249"/>
    <n v="9.9"/>
    <x v="2"/>
  </r>
  <r>
    <n v="252"/>
    <n v="1770"/>
    <x v="1"/>
    <x v="0"/>
    <n v="68.462696783025322"/>
    <x v="1"/>
    <x v="0"/>
    <x v="1"/>
    <x v="0"/>
    <x v="0"/>
    <x v="1"/>
    <n v="1.1000000000000001"/>
    <n v="246"/>
    <n v="3.35"/>
    <n v="116"/>
    <n v="924"/>
    <n v="113.15"/>
    <n v="90"/>
    <n v="317"/>
    <n v="10"/>
    <x v="0"/>
  </r>
  <r>
    <n v="253"/>
    <n v="1765"/>
    <x v="1"/>
    <x v="0"/>
    <n v="78.439425051334709"/>
    <x v="1"/>
    <x v="1"/>
    <x v="0"/>
    <x v="0"/>
    <x v="0"/>
    <x v="1"/>
    <n v="7.1"/>
    <n v="243"/>
    <n v="3.03"/>
    <n v="380"/>
    <n v="983"/>
    <n v="158.1"/>
    <n v="154"/>
    <n v="97"/>
    <n v="11.2"/>
    <x v="0"/>
  </r>
  <r>
    <n v="254"/>
    <n v="737"/>
    <x v="2"/>
    <x v="0"/>
    <n v="39.857631759069129"/>
    <x v="2"/>
    <x v="0"/>
    <x v="1"/>
    <x v="0"/>
    <x v="0"/>
    <x v="1"/>
    <n v="3.1"/>
    <n v="227"/>
    <n v="3.75"/>
    <n v="121"/>
    <n v="1136"/>
    <n v="110"/>
    <n v="91"/>
    <n v="264"/>
    <n v="10"/>
    <x v="1"/>
  </r>
  <r>
    <n v="255"/>
    <n v="1735"/>
    <x v="1"/>
    <x v="1"/>
    <n v="35.310061601642708"/>
    <x v="2"/>
    <x v="0"/>
    <x v="1"/>
    <x v="0"/>
    <x v="0"/>
    <x v="1"/>
    <n v="0.7"/>
    <n v="193"/>
    <n v="3.85"/>
    <n v="35"/>
    <n v="466"/>
    <n v="53"/>
    <n v="118"/>
    <n v="156"/>
    <n v="10.3"/>
    <x v="1"/>
  </r>
  <r>
    <n v="256"/>
    <n v="1701"/>
    <x v="1"/>
    <x v="0"/>
    <n v="31.444216290212182"/>
    <x v="2"/>
    <x v="0"/>
    <x v="1"/>
    <x v="1"/>
    <x v="1"/>
    <x v="1"/>
    <n v="1.1000000000000001"/>
    <n v="336"/>
    <n v="3.74"/>
    <n v="48"/>
    <n v="823"/>
    <n v="84"/>
    <n v="108"/>
    <n v="242"/>
    <n v="9.6999999999999993"/>
    <x v="1"/>
  </r>
  <r>
    <n v="257"/>
    <n v="1614"/>
    <x v="1"/>
    <x v="0"/>
    <n v="58.264202600958249"/>
    <x v="0"/>
    <x v="0"/>
    <x v="1"/>
    <x v="1"/>
    <x v="1"/>
    <x v="1"/>
    <n v="0.5"/>
    <n v="280"/>
    <n v="4.2300000000000004"/>
    <n v="36"/>
    <n v="377"/>
    <n v="56"/>
    <n v="146"/>
    <n v="227"/>
    <n v="10.6"/>
    <x v="2"/>
  </r>
  <r>
    <n v="258"/>
    <n v="1702"/>
    <x v="1"/>
    <x v="0"/>
    <n v="51.488021902806295"/>
    <x v="0"/>
    <x v="0"/>
    <x v="1"/>
    <x v="1"/>
    <x v="1"/>
    <x v="1"/>
    <n v="1.1000000000000001"/>
    <n v="414"/>
    <n v="3.44"/>
    <n v="80"/>
    <n v="1003"/>
    <n v="99"/>
    <n v="55"/>
    <n v="271"/>
    <n v="9.6"/>
    <x v="3"/>
  </r>
  <r>
    <n v="259"/>
    <n v="1615"/>
    <x v="1"/>
    <x v="1"/>
    <n v="59.969883641341546"/>
    <x v="0"/>
    <x v="0"/>
    <x v="1"/>
    <x v="0"/>
    <x v="1"/>
    <x v="1"/>
    <n v="3.1"/>
    <n v="277"/>
    <n v="2.97"/>
    <n v="42"/>
    <n v="1110"/>
    <n v="125"/>
    <n v="126"/>
    <n v="221"/>
    <n v="9.8000000000000007"/>
    <x v="1"/>
  </r>
  <r>
    <n v="260"/>
    <n v="1656"/>
    <x v="1"/>
    <x v="1"/>
    <n v="74.524298425735793"/>
    <x v="1"/>
    <x v="1"/>
    <x v="1"/>
    <x v="0"/>
    <x v="1"/>
    <x v="1"/>
    <n v="5.6"/>
    <n v="232"/>
    <n v="3.59"/>
    <n v="188"/>
    <n v="1120"/>
    <n v="98"/>
    <n v="128"/>
    <n v="248"/>
    <n v="10.9"/>
    <x v="0"/>
  </r>
  <r>
    <n v="261"/>
    <n v="1677"/>
    <x v="1"/>
    <x v="1"/>
    <n v="52.364134154688571"/>
    <x v="0"/>
    <x v="0"/>
    <x v="1"/>
    <x v="0"/>
    <x v="0"/>
    <x v="1"/>
    <n v="3.2"/>
    <n v="375"/>
    <n v="3.14"/>
    <n v="129"/>
    <n v="857"/>
    <n v="89"/>
    <n v="108"/>
    <n v="375"/>
    <n v="9.5"/>
    <x v="1"/>
  </r>
  <r>
    <n v="262"/>
    <n v="1666"/>
    <x v="1"/>
    <x v="1"/>
    <n v="42.787132101300479"/>
    <x v="0"/>
    <x v="0"/>
    <x v="1"/>
    <x v="0"/>
    <x v="1"/>
    <x v="1"/>
    <n v="2.8"/>
    <n v="322"/>
    <n v="3.06"/>
    <n v="65"/>
    <n v="2562"/>
    <n v="91"/>
    <n v="209"/>
    <n v="231"/>
    <n v="9.5"/>
    <x v="1"/>
  </r>
  <r>
    <n v="263"/>
    <n v="1301"/>
    <x v="2"/>
    <x v="1"/>
    <n v="34.874743326488705"/>
    <x v="2"/>
    <x v="0"/>
    <x v="1"/>
    <x v="0"/>
    <x v="0"/>
    <x v="2"/>
    <n v="1.1000000000000001"/>
    <n v="432"/>
    <n v="3.57"/>
    <n v="45"/>
    <n v="1406"/>
    <n v="190"/>
    <n v="77"/>
    <n v="248"/>
    <n v="11.4"/>
    <x v="0"/>
  </r>
  <r>
    <n v="264"/>
    <n v="1542"/>
    <x v="2"/>
    <x v="1"/>
    <n v="44.139630390143736"/>
    <x v="0"/>
    <x v="0"/>
    <x v="1"/>
    <x v="0"/>
    <x v="0"/>
    <x v="1"/>
    <n v="3.4"/>
    <n v="356"/>
    <n v="3.12"/>
    <n v="188"/>
    <n v="1911"/>
    <n v="92"/>
    <n v="130"/>
    <n v="318"/>
    <n v="11.2"/>
    <x v="1"/>
  </r>
  <r>
    <n v="265"/>
    <n v="1084"/>
    <x v="2"/>
    <x v="1"/>
    <n v="46.381930184804929"/>
    <x v="0"/>
    <x v="0"/>
    <x v="1"/>
    <x v="0"/>
    <x v="1"/>
    <x v="1"/>
    <n v="3.5"/>
    <n v="348"/>
    <n v="3.2"/>
    <n v="121"/>
    <n v="938"/>
    <n v="120"/>
    <n v="146"/>
    <n v="296"/>
    <n v="10"/>
    <x v="0"/>
  </r>
  <r>
    <n v="266"/>
    <n v="1614"/>
    <x v="1"/>
    <x v="0"/>
    <n v="56.309377138945926"/>
    <x v="0"/>
    <x v="0"/>
    <x v="1"/>
    <x v="1"/>
    <x v="1"/>
    <x v="1"/>
    <n v="0.5"/>
    <n v="318"/>
    <n v="3.32"/>
    <n v="52"/>
    <n v="613"/>
    <n v="70"/>
    <n v="260"/>
    <n v="279"/>
    <n v="10.199999999999999"/>
    <x v="1"/>
  </r>
  <r>
    <n v="267"/>
    <n v="179"/>
    <x v="0"/>
    <x v="0"/>
    <n v="70.907597535934286"/>
    <x v="1"/>
    <x v="0"/>
    <x v="0"/>
    <x v="0"/>
    <x v="0"/>
    <x v="0"/>
    <n v="6.6"/>
    <n v="222"/>
    <n v="2.33"/>
    <n v="138"/>
    <n v="620"/>
    <n v="106"/>
    <n v="91"/>
    <n v="195"/>
    <n v="12.1"/>
    <x v="0"/>
  </r>
  <r>
    <n v="268"/>
    <n v="1191"/>
    <x v="0"/>
    <x v="0"/>
    <n v="55.394934976043807"/>
    <x v="0"/>
    <x v="0"/>
    <x v="0"/>
    <x v="0"/>
    <x v="1"/>
    <x v="2"/>
    <n v="6.4"/>
    <n v="344"/>
    <n v="2.75"/>
    <n v="16"/>
    <n v="834"/>
    <n v="82"/>
    <n v="179"/>
    <n v="149"/>
    <n v="11"/>
    <x v="0"/>
  </r>
  <r>
    <n v="269"/>
    <n v="1363"/>
    <x v="1"/>
    <x v="1"/>
    <n v="45.08418891170431"/>
    <x v="0"/>
    <x v="0"/>
    <x v="1"/>
    <x v="1"/>
    <x v="1"/>
    <x v="1"/>
    <n v="3.6"/>
    <n v="374"/>
    <n v="3.5"/>
    <n v="143"/>
    <n v="1428"/>
    <n v="188"/>
    <n v="44"/>
    <n v="151"/>
    <n v="10.1"/>
    <x v="2"/>
  </r>
  <r>
    <n v="270"/>
    <n v="1568"/>
    <x v="1"/>
    <x v="0"/>
    <n v="26.277891854893909"/>
    <x v="2"/>
    <x v="0"/>
    <x v="1"/>
    <x v="0"/>
    <x v="0"/>
    <x v="1"/>
    <n v="1"/>
    <n v="448"/>
    <n v="3.74"/>
    <n v="102"/>
    <n v="1128"/>
    <n v="71"/>
    <n v="117"/>
    <n v="228"/>
    <n v="10.199999999999999"/>
    <x v="1"/>
  </r>
  <r>
    <n v="271"/>
    <n v="1569"/>
    <x v="1"/>
    <x v="1"/>
    <n v="50.47227926078029"/>
    <x v="0"/>
    <x v="0"/>
    <x v="1"/>
    <x v="0"/>
    <x v="1"/>
    <x v="1"/>
    <n v="1"/>
    <n v="321"/>
    <n v="3.5"/>
    <n v="94"/>
    <n v="955"/>
    <n v="111"/>
    <n v="177"/>
    <n v="289"/>
    <n v="9.6999999999999993"/>
    <x v="1"/>
  </r>
  <r>
    <n v="272"/>
    <n v="1525"/>
    <x v="1"/>
    <x v="0"/>
    <n v="38.398357289527723"/>
    <x v="2"/>
    <x v="0"/>
    <x v="1"/>
    <x v="1"/>
    <x v="1"/>
    <x v="1"/>
    <n v="0.5"/>
    <n v="226"/>
    <n v="2.93"/>
    <n v="22"/>
    <n v="674"/>
    <n v="58"/>
    <n v="85"/>
    <n v="153"/>
    <n v="9.8000000000000007"/>
    <x v="3"/>
  </r>
  <r>
    <n v="273"/>
    <n v="1558"/>
    <x v="1"/>
    <x v="1"/>
    <n v="47.419575633127998"/>
    <x v="0"/>
    <x v="0"/>
    <x v="1"/>
    <x v="1"/>
    <x v="0"/>
    <x v="1"/>
    <n v="2.2000000000000002"/>
    <n v="328"/>
    <n v="3.46"/>
    <n v="75"/>
    <n v="1677"/>
    <n v="87"/>
    <n v="116"/>
    <n v="202"/>
    <n v="9.6"/>
    <x v="1"/>
  </r>
  <r>
    <n v="274"/>
    <n v="1447"/>
    <x v="2"/>
    <x v="0"/>
    <n v="47.980835044490078"/>
    <x v="0"/>
    <x v="0"/>
    <x v="1"/>
    <x v="1"/>
    <x v="1"/>
    <x v="1"/>
    <n v="1.6"/>
    <n v="309.5"/>
    <n v="3.07"/>
    <n v="136"/>
    <n v="1995"/>
    <n v="128"/>
    <n v="108"/>
    <n v="372"/>
    <n v="9.6"/>
    <x v="0"/>
  </r>
  <r>
    <n v="275"/>
    <n v="1349"/>
    <x v="1"/>
    <x v="0"/>
    <n v="38.31622176591376"/>
    <x v="2"/>
    <x v="0"/>
    <x v="1"/>
    <x v="1"/>
    <x v="1"/>
    <x v="1"/>
    <n v="2.2000000000000002"/>
    <n v="572"/>
    <n v="3.77"/>
    <n v="77"/>
    <n v="2520"/>
    <n v="92"/>
    <n v="114"/>
    <n v="309"/>
    <n v="9.5"/>
    <x v="0"/>
  </r>
  <r>
    <n v="276"/>
    <n v="1481"/>
    <x v="1"/>
    <x v="0"/>
    <n v="50.108145106091719"/>
    <x v="0"/>
    <x v="0"/>
    <x v="1"/>
    <x v="1"/>
    <x v="1"/>
    <x v="1"/>
    <n v="1"/>
    <n v="219"/>
    <n v="3.85"/>
    <n v="67"/>
    <n v="640"/>
    <n v="145"/>
    <n v="108"/>
    <n v="95"/>
    <n v="10.7"/>
    <x v="2"/>
  </r>
  <r>
    <n v="277"/>
    <n v="1434"/>
    <x v="1"/>
    <x v="1"/>
    <n v="35.088295687885008"/>
    <x v="2"/>
    <x v="0"/>
    <x v="1"/>
    <x v="1"/>
    <x v="1"/>
    <x v="2"/>
    <n v="1"/>
    <n v="317"/>
    <n v="3.56"/>
    <n v="44"/>
    <n v="1636"/>
    <n v="84"/>
    <n v="111"/>
    <n v="394"/>
    <n v="9.8000000000000007"/>
    <x v="1"/>
  </r>
  <r>
    <n v="278"/>
    <n v="1420"/>
    <x v="1"/>
    <x v="1"/>
    <n v="32.503764544832308"/>
    <x v="2"/>
    <x v="0"/>
    <x v="1"/>
    <x v="1"/>
    <x v="1"/>
    <x v="1"/>
    <n v="5.6"/>
    <n v="338"/>
    <n v="3.7"/>
    <n v="130"/>
    <n v="2139"/>
    <n v="185"/>
    <n v="193"/>
    <n v="215"/>
    <n v="9.9"/>
    <x v="0"/>
  </r>
  <r>
    <n v="279"/>
    <n v="1433"/>
    <x v="1"/>
    <x v="1"/>
    <n v="56.153319644079396"/>
    <x v="0"/>
    <x v="0"/>
    <x v="1"/>
    <x v="1"/>
    <x v="1"/>
    <x v="1"/>
    <n v="0.5"/>
    <n v="198"/>
    <n v="3.77"/>
    <n v="38"/>
    <n v="911"/>
    <n v="57"/>
    <n v="56"/>
    <n v="280"/>
    <n v="9.8000000000000007"/>
    <x v="2"/>
  </r>
  <r>
    <n v="280"/>
    <n v="1412"/>
    <x v="1"/>
    <x v="0"/>
    <n v="46.154688569472967"/>
    <x v="0"/>
    <x v="0"/>
    <x v="1"/>
    <x v="1"/>
    <x v="1"/>
    <x v="1"/>
    <n v="1.6"/>
    <n v="325"/>
    <n v="3.69"/>
    <n v="69"/>
    <n v="2583"/>
    <n v="142"/>
    <n v="140"/>
    <n v="284"/>
    <n v="9.6"/>
    <x v="1"/>
  </r>
  <r>
    <n v="281"/>
    <n v="41"/>
    <x v="0"/>
    <x v="0"/>
    <n v="65.883641341546891"/>
    <x v="1"/>
    <x v="0"/>
    <x v="0"/>
    <x v="1"/>
    <x v="1"/>
    <x v="0"/>
    <n v="17.899999999999999"/>
    <n v="175"/>
    <n v="2.1"/>
    <n v="220"/>
    <n v="705"/>
    <n v="338"/>
    <n v="229"/>
    <n v="62"/>
    <n v="12.9"/>
    <x v="0"/>
  </r>
  <r>
    <n v="282"/>
    <n v="1455"/>
    <x v="1"/>
    <x v="1"/>
    <n v="33.943874058863791"/>
    <x v="2"/>
    <x v="0"/>
    <x v="1"/>
    <x v="0"/>
    <x v="1"/>
    <x v="1"/>
    <n v="1.3"/>
    <n v="304"/>
    <n v="3.52"/>
    <n v="97"/>
    <n v="1622"/>
    <n v="71"/>
    <n v="169"/>
    <n v="255"/>
    <n v="9.5"/>
    <x v="0"/>
  </r>
  <r>
    <n v="283"/>
    <n v="1030"/>
    <x v="1"/>
    <x v="1"/>
    <n v="62.861054072553046"/>
    <x v="1"/>
    <x v="0"/>
    <x v="1"/>
    <x v="1"/>
    <x v="1"/>
    <x v="1"/>
    <n v="1.1000000000000001"/>
    <n v="412"/>
    <n v="3.99"/>
    <n v="103"/>
    <n v="1293"/>
    <n v="91"/>
    <n v="113"/>
    <n v="422"/>
    <n v="9.6"/>
    <x v="0"/>
  </r>
  <r>
    <n v="284"/>
    <n v="1418"/>
    <x v="1"/>
    <x v="1"/>
    <n v="48.563997262149215"/>
    <x v="0"/>
    <x v="0"/>
    <x v="1"/>
    <x v="1"/>
    <x v="1"/>
    <x v="1"/>
    <n v="1.3"/>
    <n v="291"/>
    <n v="3.44"/>
    <n v="75"/>
    <n v="1082"/>
    <n v="85"/>
    <n v="195"/>
    <n v="251"/>
    <n v="9.5"/>
    <x v="1"/>
  </r>
  <r>
    <n v="285"/>
    <n v="1401"/>
    <x v="1"/>
    <x v="0"/>
    <n v="46.349075975359341"/>
    <x v="0"/>
    <x v="0"/>
    <x v="1"/>
    <x v="1"/>
    <x v="1"/>
    <x v="1"/>
    <n v="0.8"/>
    <n v="253"/>
    <n v="3.48"/>
    <n v="65"/>
    <n v="688"/>
    <n v="57"/>
    <n v="80"/>
    <n v="252"/>
    <n v="10"/>
    <x v="3"/>
  </r>
  <r>
    <n v="286"/>
    <n v="1408"/>
    <x v="1"/>
    <x v="0"/>
    <n v="38.852840520191648"/>
    <x v="2"/>
    <x v="0"/>
    <x v="1"/>
    <x v="0"/>
    <x v="0"/>
    <x v="1"/>
    <n v="2"/>
    <n v="310"/>
    <n v="3.36"/>
    <n v="70"/>
    <n v="1257"/>
    <n v="122"/>
    <n v="118"/>
    <n v="143"/>
    <n v="9.8000000000000007"/>
    <x v="1"/>
  </r>
  <r>
    <n v="287"/>
    <n v="1234"/>
    <x v="1"/>
    <x v="0"/>
    <n v="58.647501711156742"/>
    <x v="0"/>
    <x v="0"/>
    <x v="1"/>
    <x v="1"/>
    <x v="0"/>
    <x v="1"/>
    <n v="6.4"/>
    <n v="373"/>
    <n v="3.46"/>
    <n v="155"/>
    <n v="1768"/>
    <n v="120"/>
    <n v="151"/>
    <n v="258"/>
    <n v="10.1"/>
    <x v="0"/>
  </r>
  <r>
    <n v="288"/>
    <n v="1067"/>
    <x v="2"/>
    <x v="1"/>
    <n v="48.936344969199176"/>
    <x v="0"/>
    <x v="0"/>
    <x v="1"/>
    <x v="0"/>
    <x v="1"/>
    <x v="2"/>
    <n v="8.6999999999999993"/>
    <n v="310"/>
    <n v="3.89"/>
    <n v="107"/>
    <n v="637"/>
    <n v="117"/>
    <n v="242"/>
    <n v="298"/>
    <n v="9.6"/>
    <x v="2"/>
  </r>
  <r>
    <n v="289"/>
    <n v="799"/>
    <x v="0"/>
    <x v="0"/>
    <n v="67.572895277207394"/>
    <x v="1"/>
    <x v="1"/>
    <x v="1"/>
    <x v="0"/>
    <x v="1"/>
    <x v="2"/>
    <n v="4"/>
    <n v="416"/>
    <n v="3.99"/>
    <n v="177"/>
    <n v="960"/>
    <n v="86"/>
    <n v="242"/>
    <n v="269"/>
    <n v="9.8000000000000007"/>
    <x v="2"/>
  </r>
  <r>
    <n v="290"/>
    <n v="1363"/>
    <x v="1"/>
    <x v="0"/>
    <n v="65.98494182067077"/>
    <x v="1"/>
    <x v="0"/>
    <x v="1"/>
    <x v="1"/>
    <x v="1"/>
    <x v="1"/>
    <n v="1.4"/>
    <n v="294"/>
    <n v="3.57"/>
    <n v="33"/>
    <n v="722"/>
    <n v="93"/>
    <n v="69"/>
    <n v="283"/>
    <n v="9.8000000000000007"/>
    <x v="1"/>
  </r>
  <r>
    <n v="291"/>
    <n v="901"/>
    <x v="2"/>
    <x v="0"/>
    <n v="40.90075290896646"/>
    <x v="0"/>
    <x v="0"/>
    <x v="1"/>
    <x v="1"/>
    <x v="1"/>
    <x v="1"/>
    <n v="3.2"/>
    <n v="339"/>
    <n v="3.18"/>
    <n v="123"/>
    <n v="3336"/>
    <n v="205"/>
    <n v="84"/>
    <n v="304"/>
    <n v="9.9"/>
    <x v="0"/>
  </r>
  <r>
    <n v="292"/>
    <n v="1329"/>
    <x v="1"/>
    <x v="1"/>
    <n v="50.245037645448321"/>
    <x v="0"/>
    <x v="1"/>
    <x v="1"/>
    <x v="0"/>
    <x v="1"/>
    <x v="1"/>
    <n v="8.6"/>
    <n v="546"/>
    <n v="3.73"/>
    <n v="84"/>
    <n v="1070"/>
    <n v="127"/>
    <n v="153"/>
    <n v="291"/>
    <n v="11.2"/>
    <x v="1"/>
  </r>
  <r>
    <n v="293"/>
    <n v="1320"/>
    <x v="1"/>
    <x v="1"/>
    <n v="57.196440793976727"/>
    <x v="0"/>
    <x v="0"/>
    <x v="1"/>
    <x v="0"/>
    <x v="0"/>
    <x v="0"/>
    <n v="8.5"/>
    <n v="194"/>
    <n v="2.98"/>
    <n v="196"/>
    <n v="815"/>
    <n v="163"/>
    <n v="78"/>
    <n v="122"/>
    <n v="12.3"/>
    <x v="0"/>
  </r>
  <r>
    <n v="294"/>
    <n v="1302"/>
    <x v="1"/>
    <x v="0"/>
    <n v="60.536618754277889"/>
    <x v="1"/>
    <x v="1"/>
    <x v="1"/>
    <x v="0"/>
    <x v="1"/>
    <x v="1"/>
    <n v="6.6"/>
    <n v="1000"/>
    <n v="3.07"/>
    <n v="88"/>
    <n v="3150"/>
    <n v="193"/>
    <n v="133"/>
    <n v="299"/>
    <n v="10.9"/>
    <x v="0"/>
  </r>
  <r>
    <n v="295"/>
    <n v="877"/>
    <x v="2"/>
    <x v="0"/>
    <n v="35.351129363449694"/>
    <x v="2"/>
    <x v="1"/>
    <x v="1"/>
    <x v="1"/>
    <x v="1"/>
    <x v="1"/>
    <n v="2.4"/>
    <n v="646"/>
    <n v="3.83"/>
    <n v="102"/>
    <n v="855"/>
    <n v="127"/>
    <n v="194"/>
    <n v="306"/>
    <n v="10.3"/>
    <x v="1"/>
  </r>
  <r>
    <n v="296"/>
    <n v="1321"/>
    <x v="1"/>
    <x v="1"/>
    <n v="31.381245722108144"/>
    <x v="2"/>
    <x v="0"/>
    <x v="1"/>
    <x v="1"/>
    <x v="1"/>
    <x v="1"/>
    <n v="0.8"/>
    <n v="328"/>
    <n v="3.31"/>
    <n v="62"/>
    <n v="1105"/>
    <n v="137"/>
    <n v="95"/>
    <n v="293"/>
    <n v="10.9"/>
    <x v="0"/>
  </r>
  <r>
    <n v="297"/>
    <n v="533"/>
    <x v="2"/>
    <x v="0"/>
    <n v="55.986310746064341"/>
    <x v="0"/>
    <x v="1"/>
    <x v="1"/>
    <x v="0"/>
    <x v="1"/>
    <x v="1"/>
    <n v="1.2"/>
    <n v="275"/>
    <n v="3.43"/>
    <n v="100"/>
    <n v="1142"/>
    <n v="75"/>
    <n v="91"/>
    <n v="217"/>
    <n v="11.3"/>
    <x v="0"/>
  </r>
  <r>
    <n v="298"/>
    <n v="1300"/>
    <x v="1"/>
    <x v="1"/>
    <n v="52.725530458590008"/>
    <x v="0"/>
    <x v="0"/>
    <x v="1"/>
    <x v="0"/>
    <x v="1"/>
    <x v="1"/>
    <n v="1.1000000000000001"/>
    <n v="340"/>
    <n v="3.37"/>
    <n v="73"/>
    <n v="289"/>
    <n v="97"/>
    <n v="93"/>
    <n v="243"/>
    <n v="10.199999999999999"/>
    <x v="1"/>
  </r>
  <r>
    <n v="299"/>
    <n v="1293"/>
    <x v="1"/>
    <x v="0"/>
    <n v="38.091718001368925"/>
    <x v="2"/>
    <x v="0"/>
    <x v="1"/>
    <x v="1"/>
    <x v="1"/>
    <x v="1"/>
    <n v="2.4"/>
    <n v="342"/>
    <n v="3.76"/>
    <n v="90"/>
    <n v="1653"/>
    <n v="150"/>
    <n v="127"/>
    <n v="213"/>
    <n v="10.8"/>
    <x v="1"/>
  </r>
  <r>
    <n v="300"/>
    <n v="207"/>
    <x v="0"/>
    <x v="1"/>
    <n v="58.171115674195754"/>
    <x v="0"/>
    <x v="0"/>
    <x v="1"/>
    <x v="0"/>
    <x v="1"/>
    <x v="1"/>
    <n v="5.2"/>
    <n v="309.5"/>
    <n v="2.23"/>
    <n v="234"/>
    <n v="601"/>
    <n v="135"/>
    <n v="108"/>
    <n v="206"/>
    <n v="12.3"/>
    <x v="0"/>
  </r>
  <r>
    <n v="301"/>
    <n v="1295"/>
    <x v="1"/>
    <x v="1"/>
    <n v="45.210130047912386"/>
    <x v="0"/>
    <x v="0"/>
    <x v="1"/>
    <x v="1"/>
    <x v="1"/>
    <x v="1"/>
    <n v="1"/>
    <n v="393"/>
    <n v="3.57"/>
    <n v="50"/>
    <n v="1307"/>
    <n v="74"/>
    <n v="103"/>
    <n v="295"/>
    <n v="10.5"/>
    <x v="0"/>
  </r>
  <r>
    <n v="302"/>
    <n v="1271"/>
    <x v="1"/>
    <x v="0"/>
    <n v="37.798767967145793"/>
    <x v="2"/>
    <x v="0"/>
    <x v="1"/>
    <x v="1"/>
    <x v="1"/>
    <x v="1"/>
    <n v="0.7"/>
    <n v="335"/>
    <n v="3.95"/>
    <n v="43"/>
    <n v="657"/>
    <n v="52"/>
    <n v="104"/>
    <n v="268"/>
    <n v="10.6"/>
    <x v="2"/>
  </r>
  <r>
    <n v="303"/>
    <n v="1250"/>
    <x v="1"/>
    <x v="1"/>
    <n v="60.659822039698838"/>
    <x v="1"/>
    <x v="0"/>
    <x v="1"/>
    <x v="0"/>
    <x v="0"/>
    <x v="1"/>
    <n v="1"/>
    <n v="372"/>
    <n v="3.25"/>
    <n v="108"/>
    <n v="1190"/>
    <n v="140"/>
    <n v="55"/>
    <n v="248"/>
    <n v="10.6"/>
    <x v="0"/>
  </r>
  <r>
    <n v="304"/>
    <n v="1230"/>
    <x v="1"/>
    <x v="0"/>
    <n v="35.534565366187543"/>
    <x v="2"/>
    <x v="0"/>
    <x v="1"/>
    <x v="1"/>
    <x v="1"/>
    <x v="1"/>
    <n v="0.5"/>
    <n v="219"/>
    <n v="3.93"/>
    <n v="22"/>
    <n v="663"/>
    <n v="45"/>
    <n v="75"/>
    <n v="246"/>
    <n v="10.8"/>
    <x v="1"/>
  </r>
  <r>
    <n v="305"/>
    <n v="1216"/>
    <x v="1"/>
    <x v="1"/>
    <n v="43.066392881587952"/>
    <x v="0"/>
    <x v="0"/>
    <x v="1"/>
    <x v="0"/>
    <x v="0"/>
    <x v="1"/>
    <n v="2.9"/>
    <n v="426"/>
    <n v="3.61"/>
    <n v="73"/>
    <n v="5184"/>
    <n v="288"/>
    <n v="144"/>
    <n v="275"/>
    <n v="10.6"/>
    <x v="1"/>
  </r>
  <r>
    <n v="306"/>
    <n v="1216"/>
    <x v="1"/>
    <x v="1"/>
    <n v="56.39151266255989"/>
    <x v="0"/>
    <x v="0"/>
    <x v="1"/>
    <x v="0"/>
    <x v="1"/>
    <x v="1"/>
    <n v="0.6"/>
    <n v="239"/>
    <n v="3.45"/>
    <n v="31"/>
    <n v="1072"/>
    <n v="55"/>
    <n v="64"/>
    <n v="227"/>
    <n v="10.7"/>
    <x v="2"/>
  </r>
  <r>
    <n v="307"/>
    <n v="1149"/>
    <x v="1"/>
    <x v="1"/>
    <n v="30.573579739904176"/>
    <x v="2"/>
    <x v="0"/>
    <x v="1"/>
    <x v="1"/>
    <x v="1"/>
    <x v="1"/>
    <n v="0.8"/>
    <n v="273"/>
    <n v="3.56"/>
    <n v="52"/>
    <n v="1282"/>
    <n v="130"/>
    <n v="59"/>
    <n v="344"/>
    <n v="10.5"/>
    <x v="2"/>
  </r>
  <r>
    <n v="308"/>
    <n v="1153"/>
    <x v="1"/>
    <x v="0"/>
    <n v="61.182751540041068"/>
    <x v="1"/>
    <x v="0"/>
    <x v="1"/>
    <x v="0"/>
    <x v="1"/>
    <x v="1"/>
    <n v="0.4"/>
    <n v="246"/>
    <n v="3.58"/>
    <n v="24"/>
    <n v="797"/>
    <n v="91"/>
    <n v="113"/>
    <n v="288"/>
    <n v="10.4"/>
    <x v="2"/>
  </r>
  <r>
    <n v="309"/>
    <n v="994"/>
    <x v="1"/>
    <x v="1"/>
    <n v="58.299794661190965"/>
    <x v="0"/>
    <x v="0"/>
    <x v="1"/>
    <x v="1"/>
    <x v="1"/>
    <x v="1"/>
    <n v="0.4"/>
    <n v="260"/>
    <n v="2.75"/>
    <n v="41"/>
    <n v="1166"/>
    <n v="70"/>
    <n v="82"/>
    <n v="231"/>
    <n v="10.8"/>
    <x v="2"/>
  </r>
  <r>
    <n v="310"/>
    <n v="939"/>
    <x v="1"/>
    <x v="0"/>
    <n v="62.332648870636554"/>
    <x v="1"/>
    <x v="0"/>
    <x v="1"/>
    <x v="1"/>
    <x v="1"/>
    <x v="1"/>
    <n v="1.7"/>
    <n v="434"/>
    <n v="3.35"/>
    <n v="39"/>
    <n v="1713"/>
    <n v="171"/>
    <n v="100"/>
    <n v="234"/>
    <n v="10.199999999999999"/>
    <x v="2"/>
  </r>
  <r>
    <n v="311"/>
    <n v="839"/>
    <x v="1"/>
    <x v="0"/>
    <n v="37.998631074606436"/>
    <x v="2"/>
    <x v="0"/>
    <x v="1"/>
    <x v="1"/>
    <x v="1"/>
    <x v="1"/>
    <n v="2"/>
    <n v="247"/>
    <n v="3.16"/>
    <n v="69"/>
    <n v="1050"/>
    <n v="117"/>
    <n v="88"/>
    <n v="335"/>
    <n v="10.5"/>
    <x v="2"/>
  </r>
  <r>
    <n v="312"/>
    <n v="788"/>
    <x v="1"/>
    <x v="1"/>
    <n v="33.152635181382614"/>
    <x v="2"/>
    <x v="0"/>
    <x v="1"/>
    <x v="1"/>
    <x v="0"/>
    <x v="1"/>
    <n v="6.4"/>
    <n v="576"/>
    <n v="3.79"/>
    <n v="186"/>
    <n v="2115"/>
    <n v="136"/>
    <n v="149"/>
    <n v="200"/>
    <n v="10.8"/>
    <x v="2"/>
  </r>
  <r>
    <n v="313"/>
    <n v="4062"/>
    <x v="1"/>
    <x v="2"/>
    <n v="60"/>
    <x v="1"/>
    <x v="0"/>
    <x v="2"/>
    <x v="2"/>
    <x v="2"/>
    <x v="1"/>
    <n v="0.7"/>
    <n v="309.5"/>
    <n v="3.65"/>
    <n v="73"/>
    <n v="1259"/>
    <n v="114.7"/>
    <n v="108"/>
    <n v="378"/>
    <n v="11"/>
    <x v="1"/>
  </r>
  <r>
    <n v="314"/>
    <n v="3561"/>
    <x v="0"/>
    <x v="2"/>
    <n v="64.999315537303218"/>
    <x v="1"/>
    <x v="0"/>
    <x v="2"/>
    <x v="2"/>
    <x v="2"/>
    <x v="2"/>
    <n v="1.4"/>
    <n v="309.5"/>
    <n v="3.04"/>
    <n v="73"/>
    <n v="1259"/>
    <n v="114.7"/>
    <n v="108"/>
    <n v="331"/>
    <n v="12.1"/>
    <x v="0"/>
  </r>
  <r>
    <n v="315"/>
    <n v="2844"/>
    <x v="1"/>
    <x v="2"/>
    <n v="54.001368925393564"/>
    <x v="0"/>
    <x v="0"/>
    <x v="2"/>
    <x v="2"/>
    <x v="2"/>
    <x v="1"/>
    <n v="0.7"/>
    <n v="309.5"/>
    <n v="4.03"/>
    <n v="73"/>
    <n v="1259"/>
    <n v="114.7"/>
    <n v="108"/>
    <n v="226"/>
    <n v="9.8000000000000007"/>
    <x v="0"/>
  </r>
  <r>
    <n v="316"/>
    <n v="2071"/>
    <x v="0"/>
    <x v="2"/>
    <n v="75.000684462696782"/>
    <x v="1"/>
    <x v="0"/>
    <x v="2"/>
    <x v="2"/>
    <x v="2"/>
    <x v="2"/>
    <n v="0.7"/>
    <n v="309.5"/>
    <n v="3.96"/>
    <n v="73"/>
    <n v="1259"/>
    <n v="114.7"/>
    <n v="108"/>
    <n v="251"/>
    <n v="11.3"/>
    <x v="0"/>
  </r>
  <r>
    <n v="317"/>
    <n v="3030"/>
    <x v="1"/>
    <x v="2"/>
    <n v="62.001368925393564"/>
    <x v="1"/>
    <x v="0"/>
    <x v="2"/>
    <x v="2"/>
    <x v="2"/>
    <x v="1"/>
    <n v="0.8"/>
    <n v="309.5"/>
    <n v="2.48"/>
    <n v="73"/>
    <n v="1259"/>
    <n v="114.7"/>
    <n v="108"/>
    <n v="273"/>
    <n v="10"/>
    <x v="1"/>
  </r>
  <r>
    <n v="318"/>
    <n v="1680"/>
    <x v="1"/>
    <x v="2"/>
    <n v="43.000684462696782"/>
    <x v="0"/>
    <x v="0"/>
    <x v="2"/>
    <x v="2"/>
    <x v="2"/>
    <x v="1"/>
    <n v="0.7"/>
    <n v="309.5"/>
    <n v="3.68"/>
    <n v="73"/>
    <n v="1259"/>
    <n v="114.7"/>
    <n v="108"/>
    <n v="306"/>
    <n v="9.5"/>
    <x v="2"/>
  </r>
  <r>
    <n v="319"/>
    <n v="41"/>
    <x v="0"/>
    <x v="2"/>
    <n v="46.001368925393564"/>
    <x v="0"/>
    <x v="0"/>
    <x v="2"/>
    <x v="2"/>
    <x v="2"/>
    <x v="1"/>
    <n v="5"/>
    <n v="309.5"/>
    <n v="2.93"/>
    <n v="73"/>
    <n v="1259"/>
    <n v="114.7"/>
    <n v="108"/>
    <n v="260"/>
    <n v="10.4"/>
    <x v="1"/>
  </r>
  <r>
    <n v="320"/>
    <n v="2403"/>
    <x v="1"/>
    <x v="2"/>
    <n v="44"/>
    <x v="0"/>
    <x v="0"/>
    <x v="2"/>
    <x v="2"/>
    <x v="2"/>
    <x v="2"/>
    <n v="0.4"/>
    <n v="309.5"/>
    <n v="3.81"/>
    <n v="73"/>
    <n v="1259"/>
    <n v="114.7"/>
    <n v="108"/>
    <n v="226"/>
    <n v="10.5"/>
    <x v="1"/>
  </r>
  <r>
    <n v="321"/>
    <n v="1170"/>
    <x v="1"/>
    <x v="2"/>
    <n v="60.999315537303218"/>
    <x v="1"/>
    <x v="1"/>
    <x v="2"/>
    <x v="2"/>
    <x v="2"/>
    <x v="2"/>
    <n v="1.3"/>
    <n v="309.5"/>
    <n v="3.41"/>
    <n v="73"/>
    <n v="1259"/>
    <n v="114.7"/>
    <n v="108"/>
    <n v="259"/>
    <n v="10.9"/>
    <x v="0"/>
  </r>
  <r>
    <n v="322"/>
    <n v="2011"/>
    <x v="0"/>
    <x v="2"/>
    <n v="64"/>
    <x v="1"/>
    <x v="0"/>
    <x v="2"/>
    <x v="2"/>
    <x v="2"/>
    <x v="1"/>
    <n v="1.1000000000000001"/>
    <n v="309.5"/>
    <n v="3.69"/>
    <n v="73"/>
    <n v="1259"/>
    <n v="114.7"/>
    <n v="108"/>
    <n v="139"/>
    <n v="10.5"/>
    <x v="1"/>
  </r>
  <r>
    <n v="323"/>
    <n v="3523"/>
    <x v="1"/>
    <x v="2"/>
    <n v="40"/>
    <x v="0"/>
    <x v="0"/>
    <x v="2"/>
    <x v="2"/>
    <x v="2"/>
    <x v="1"/>
    <n v="0.6"/>
    <n v="309.5"/>
    <n v="4.04"/>
    <n v="73"/>
    <n v="1259"/>
    <n v="114.7"/>
    <n v="108"/>
    <n v="130"/>
    <n v="11.2"/>
    <x v="2"/>
  </r>
  <r>
    <n v="324"/>
    <n v="3468"/>
    <x v="1"/>
    <x v="2"/>
    <n v="63.000684462696782"/>
    <x v="1"/>
    <x v="0"/>
    <x v="2"/>
    <x v="2"/>
    <x v="2"/>
    <x v="1"/>
    <n v="0.6"/>
    <n v="309.5"/>
    <n v="3.94"/>
    <n v="73"/>
    <n v="1259"/>
    <n v="114.7"/>
    <n v="108"/>
    <n v="234"/>
    <n v="11.5"/>
    <x v="2"/>
  </r>
  <r>
    <n v="325"/>
    <n v="4795"/>
    <x v="1"/>
    <x v="2"/>
    <n v="34.001368925393564"/>
    <x v="2"/>
    <x v="0"/>
    <x v="2"/>
    <x v="2"/>
    <x v="2"/>
    <x v="1"/>
    <n v="1.8"/>
    <n v="309.5"/>
    <n v="3.24"/>
    <n v="73"/>
    <n v="1259"/>
    <n v="114.7"/>
    <n v="108"/>
    <n v="251"/>
    <n v="18"/>
    <x v="2"/>
  </r>
  <r>
    <n v="326"/>
    <n v="1236"/>
    <x v="1"/>
    <x v="2"/>
    <n v="52"/>
    <x v="0"/>
    <x v="0"/>
    <x v="2"/>
    <x v="2"/>
    <x v="2"/>
    <x v="1"/>
    <n v="1.5"/>
    <n v="309.5"/>
    <n v="3.42"/>
    <n v="73"/>
    <n v="1259"/>
    <n v="114.7"/>
    <n v="108"/>
    <n v="246"/>
    <n v="10.3"/>
    <x v="1"/>
  </r>
  <r>
    <n v="327"/>
    <n v="4214"/>
    <x v="1"/>
    <x v="2"/>
    <n v="48.999315537303218"/>
    <x v="0"/>
    <x v="0"/>
    <x v="2"/>
    <x v="2"/>
    <x v="2"/>
    <x v="1"/>
    <n v="1.2"/>
    <n v="309.5"/>
    <n v="3.99"/>
    <n v="73"/>
    <n v="1259"/>
    <n v="114.7"/>
    <n v="108"/>
    <n v="251"/>
    <n v="11.2"/>
    <x v="2"/>
  </r>
  <r>
    <n v="328"/>
    <n v="2111"/>
    <x v="0"/>
    <x v="2"/>
    <n v="54.001368925393564"/>
    <x v="0"/>
    <x v="0"/>
    <x v="2"/>
    <x v="2"/>
    <x v="2"/>
    <x v="1"/>
    <n v="1"/>
    <n v="309.5"/>
    <n v="3.6"/>
    <n v="73"/>
    <n v="1259"/>
    <n v="114.7"/>
    <n v="108"/>
    <n v="251"/>
    <n v="12.1"/>
    <x v="2"/>
  </r>
  <r>
    <n v="329"/>
    <n v="1462"/>
    <x v="0"/>
    <x v="2"/>
    <n v="63.000684462696782"/>
    <x v="1"/>
    <x v="0"/>
    <x v="2"/>
    <x v="2"/>
    <x v="2"/>
    <x v="1"/>
    <n v="0.7"/>
    <n v="309.5"/>
    <n v="3.4"/>
    <n v="73"/>
    <n v="1259"/>
    <n v="114.7"/>
    <n v="108"/>
    <n v="371"/>
    <n v="10.1"/>
    <x v="0"/>
  </r>
  <r>
    <n v="330"/>
    <n v="1746"/>
    <x v="0"/>
    <x v="2"/>
    <n v="54.001368925393564"/>
    <x v="0"/>
    <x v="1"/>
    <x v="2"/>
    <x v="2"/>
    <x v="2"/>
    <x v="1"/>
    <n v="3.5"/>
    <n v="309.5"/>
    <n v="3.63"/>
    <n v="73"/>
    <n v="1259"/>
    <n v="114.7"/>
    <n v="108"/>
    <n v="325"/>
    <n v="10.3"/>
    <x v="2"/>
  </r>
  <r>
    <n v="331"/>
    <n v="94"/>
    <x v="0"/>
    <x v="2"/>
    <n v="46.001368925393564"/>
    <x v="0"/>
    <x v="0"/>
    <x v="2"/>
    <x v="2"/>
    <x v="2"/>
    <x v="2"/>
    <n v="3.1"/>
    <n v="309.5"/>
    <n v="3.56"/>
    <n v="73"/>
    <n v="1259"/>
    <n v="114.7"/>
    <n v="108"/>
    <n v="142"/>
    <n v="13.6"/>
    <x v="0"/>
  </r>
  <r>
    <n v="332"/>
    <n v="785"/>
    <x v="0"/>
    <x v="2"/>
    <n v="52.999315537303218"/>
    <x v="0"/>
    <x v="0"/>
    <x v="2"/>
    <x v="2"/>
    <x v="2"/>
    <x v="1"/>
    <n v="12.6"/>
    <n v="309.5"/>
    <n v="2.87"/>
    <n v="73"/>
    <n v="1259"/>
    <n v="114.7"/>
    <n v="108"/>
    <n v="114"/>
    <n v="11.8"/>
    <x v="0"/>
  </r>
  <r>
    <n v="333"/>
    <n v="1518"/>
    <x v="0"/>
    <x v="2"/>
    <n v="56"/>
    <x v="0"/>
    <x v="0"/>
    <x v="2"/>
    <x v="2"/>
    <x v="2"/>
    <x v="1"/>
    <n v="2.8"/>
    <n v="309.5"/>
    <n v="3.92"/>
    <n v="73"/>
    <n v="1259"/>
    <n v="114.7"/>
    <n v="108"/>
    <n v="251"/>
    <n v="10.6"/>
    <x v="0"/>
  </r>
  <r>
    <n v="334"/>
    <n v="466"/>
    <x v="0"/>
    <x v="2"/>
    <n v="56"/>
    <x v="0"/>
    <x v="0"/>
    <x v="2"/>
    <x v="2"/>
    <x v="2"/>
    <x v="1"/>
    <n v="7.1"/>
    <n v="309.5"/>
    <n v="3.51"/>
    <n v="73"/>
    <n v="1259"/>
    <n v="114.7"/>
    <n v="108"/>
    <n v="721"/>
    <n v="11.8"/>
    <x v="1"/>
  </r>
  <r>
    <n v="335"/>
    <n v="3527"/>
    <x v="1"/>
    <x v="2"/>
    <n v="55.000684462696782"/>
    <x v="0"/>
    <x v="0"/>
    <x v="2"/>
    <x v="2"/>
    <x v="2"/>
    <x v="1"/>
    <n v="0.6"/>
    <n v="309.5"/>
    <n v="4.1500000000000004"/>
    <n v="73"/>
    <n v="1259"/>
    <n v="114.7"/>
    <n v="108"/>
    <n v="280"/>
    <n v="10.1"/>
    <x v="2"/>
  </r>
  <r>
    <n v="336"/>
    <n v="2635"/>
    <x v="1"/>
    <x v="2"/>
    <n v="64.999315537303218"/>
    <x v="1"/>
    <x v="0"/>
    <x v="2"/>
    <x v="2"/>
    <x v="2"/>
    <x v="1"/>
    <n v="2.1"/>
    <n v="309.5"/>
    <n v="3.34"/>
    <n v="73"/>
    <n v="1259"/>
    <n v="114.7"/>
    <n v="108"/>
    <n v="155"/>
    <n v="10.1"/>
    <x v="0"/>
  </r>
  <r>
    <n v="337"/>
    <n v="2286"/>
    <x v="0"/>
    <x v="2"/>
    <n v="56"/>
    <x v="0"/>
    <x v="0"/>
    <x v="2"/>
    <x v="2"/>
    <x v="2"/>
    <x v="1"/>
    <n v="1.8"/>
    <n v="309.5"/>
    <n v="3.64"/>
    <n v="73"/>
    <n v="1259"/>
    <n v="114.7"/>
    <n v="108"/>
    <n v="141"/>
    <n v="10"/>
    <x v="1"/>
  </r>
  <r>
    <n v="338"/>
    <n v="791"/>
    <x v="0"/>
    <x v="2"/>
    <n v="47.000684462696782"/>
    <x v="0"/>
    <x v="0"/>
    <x v="2"/>
    <x v="2"/>
    <x v="2"/>
    <x v="1"/>
    <n v="16"/>
    <n v="309.5"/>
    <n v="3.42"/>
    <n v="73"/>
    <n v="1259"/>
    <n v="114.7"/>
    <n v="108"/>
    <n v="475"/>
    <n v="13.8"/>
    <x v="2"/>
  </r>
  <r>
    <n v="339"/>
    <n v="3492"/>
    <x v="1"/>
    <x v="2"/>
    <n v="60"/>
    <x v="1"/>
    <x v="0"/>
    <x v="2"/>
    <x v="2"/>
    <x v="2"/>
    <x v="1"/>
    <n v="0.6"/>
    <n v="309.5"/>
    <n v="4.38"/>
    <n v="73"/>
    <n v="1259"/>
    <n v="114.7"/>
    <n v="108"/>
    <n v="269"/>
    <n v="10.6"/>
    <x v="2"/>
  </r>
  <r>
    <n v="340"/>
    <n v="3495"/>
    <x v="1"/>
    <x v="2"/>
    <n v="52.999315537303218"/>
    <x v="0"/>
    <x v="0"/>
    <x v="2"/>
    <x v="2"/>
    <x v="2"/>
    <x v="1"/>
    <n v="5.4"/>
    <n v="309.5"/>
    <n v="4.1900000000000004"/>
    <n v="73"/>
    <n v="1259"/>
    <n v="114.7"/>
    <n v="108"/>
    <n v="141"/>
    <n v="11.2"/>
    <x v="2"/>
  </r>
  <r>
    <n v="341"/>
    <n v="111"/>
    <x v="0"/>
    <x v="2"/>
    <n v="54.001368925393564"/>
    <x v="0"/>
    <x v="0"/>
    <x v="2"/>
    <x v="2"/>
    <x v="2"/>
    <x v="1"/>
    <n v="9"/>
    <n v="309.5"/>
    <n v="3.29"/>
    <n v="73"/>
    <n v="1259"/>
    <n v="114.7"/>
    <n v="108"/>
    <n v="286"/>
    <n v="13.1"/>
    <x v="0"/>
  </r>
  <r>
    <n v="342"/>
    <n v="3231"/>
    <x v="1"/>
    <x v="2"/>
    <n v="50.001368925393564"/>
    <x v="0"/>
    <x v="0"/>
    <x v="2"/>
    <x v="2"/>
    <x v="2"/>
    <x v="1"/>
    <n v="0.9"/>
    <n v="309.5"/>
    <n v="4.01"/>
    <n v="73"/>
    <n v="1259"/>
    <n v="114.7"/>
    <n v="108"/>
    <n v="244"/>
    <n v="10.5"/>
    <x v="1"/>
  </r>
  <r>
    <n v="343"/>
    <n v="625"/>
    <x v="0"/>
    <x v="2"/>
    <n v="48"/>
    <x v="0"/>
    <x v="0"/>
    <x v="2"/>
    <x v="2"/>
    <x v="2"/>
    <x v="1"/>
    <n v="11.1"/>
    <n v="309.5"/>
    <n v="2.84"/>
    <n v="73"/>
    <n v="1259"/>
    <n v="114.7"/>
    <n v="108"/>
    <n v="251"/>
    <n v="12.2"/>
    <x v="2"/>
  </r>
  <r>
    <n v="344"/>
    <n v="3157"/>
    <x v="1"/>
    <x v="2"/>
    <n v="36"/>
    <x v="2"/>
    <x v="0"/>
    <x v="2"/>
    <x v="2"/>
    <x v="2"/>
    <x v="1"/>
    <n v="8.9"/>
    <n v="309.5"/>
    <n v="3.76"/>
    <n v="73"/>
    <n v="1259"/>
    <n v="114.7"/>
    <n v="108"/>
    <n v="209"/>
    <n v="10.6"/>
    <x v="1"/>
  </r>
  <r>
    <n v="345"/>
    <n v="3021"/>
    <x v="2"/>
    <x v="2"/>
    <n v="48"/>
    <x v="0"/>
    <x v="0"/>
    <x v="2"/>
    <x v="2"/>
    <x v="2"/>
    <x v="1"/>
    <n v="0.5"/>
    <n v="309.5"/>
    <n v="3.76"/>
    <n v="73"/>
    <n v="1259"/>
    <n v="114.7"/>
    <n v="108"/>
    <n v="388"/>
    <n v="10.1"/>
    <x v="2"/>
  </r>
  <r>
    <n v="346"/>
    <n v="559"/>
    <x v="0"/>
    <x v="2"/>
    <n v="70.001368925393564"/>
    <x v="1"/>
    <x v="0"/>
    <x v="2"/>
    <x v="2"/>
    <x v="2"/>
    <x v="2"/>
    <n v="0.6"/>
    <n v="309.5"/>
    <n v="3.81"/>
    <n v="73"/>
    <n v="1259"/>
    <n v="114.7"/>
    <n v="108"/>
    <n v="160"/>
    <n v="11"/>
    <x v="0"/>
  </r>
  <r>
    <n v="347"/>
    <n v="2812"/>
    <x v="0"/>
    <x v="2"/>
    <n v="51.000684462696782"/>
    <x v="0"/>
    <x v="0"/>
    <x v="2"/>
    <x v="2"/>
    <x v="2"/>
    <x v="1"/>
    <n v="3.4"/>
    <n v="309.5"/>
    <n v="3.92"/>
    <n v="73"/>
    <n v="1259"/>
    <n v="114.7"/>
    <n v="108"/>
    <n v="251"/>
    <n v="9.3000000000000007"/>
    <x v="2"/>
  </r>
  <r>
    <n v="348"/>
    <n v="2834"/>
    <x v="1"/>
    <x v="2"/>
    <n v="52"/>
    <x v="0"/>
    <x v="1"/>
    <x v="2"/>
    <x v="2"/>
    <x v="2"/>
    <x v="1"/>
    <n v="0.9"/>
    <n v="309.5"/>
    <n v="3.14"/>
    <n v="73"/>
    <n v="1259"/>
    <n v="114.7"/>
    <n v="108"/>
    <n v="191"/>
    <n v="12.3"/>
    <x v="2"/>
  </r>
  <r>
    <n v="349"/>
    <n v="2855"/>
    <x v="1"/>
    <x v="2"/>
    <n v="54.001368925393564"/>
    <x v="0"/>
    <x v="0"/>
    <x v="2"/>
    <x v="2"/>
    <x v="2"/>
    <x v="1"/>
    <n v="1.4"/>
    <n v="309.5"/>
    <n v="3.82"/>
    <n v="73"/>
    <n v="1259"/>
    <n v="114.7"/>
    <n v="108"/>
    <n v="249"/>
    <n v="10.3"/>
    <x v="2"/>
  </r>
  <r>
    <n v="350"/>
    <n v="662"/>
    <x v="0"/>
    <x v="2"/>
    <n v="48"/>
    <x v="0"/>
    <x v="0"/>
    <x v="2"/>
    <x v="2"/>
    <x v="2"/>
    <x v="1"/>
    <n v="2.1"/>
    <n v="309.5"/>
    <n v="4.0999999999999996"/>
    <n v="73"/>
    <n v="1259"/>
    <n v="114.7"/>
    <n v="108"/>
    <n v="200"/>
    <n v="9"/>
    <x v="1"/>
  </r>
  <r>
    <n v="351"/>
    <n v="727"/>
    <x v="0"/>
    <x v="2"/>
    <n v="66.001368925393564"/>
    <x v="1"/>
    <x v="0"/>
    <x v="2"/>
    <x v="2"/>
    <x v="2"/>
    <x v="1"/>
    <n v="15"/>
    <n v="309.5"/>
    <n v="3.4"/>
    <n v="73"/>
    <n v="1259"/>
    <n v="114.7"/>
    <n v="108"/>
    <n v="150"/>
    <n v="11.1"/>
    <x v="0"/>
  </r>
  <r>
    <n v="352"/>
    <n v="2716"/>
    <x v="1"/>
    <x v="2"/>
    <n v="52.999315537303218"/>
    <x v="0"/>
    <x v="0"/>
    <x v="2"/>
    <x v="2"/>
    <x v="2"/>
    <x v="1"/>
    <n v="0.6"/>
    <n v="309.5"/>
    <n v="4.1900000000000004"/>
    <n v="73"/>
    <n v="1259"/>
    <n v="114.7"/>
    <n v="108"/>
    <n v="330"/>
    <n v="9.9"/>
    <x v="3"/>
  </r>
  <r>
    <n v="353"/>
    <n v="2698"/>
    <x v="1"/>
    <x v="2"/>
    <n v="62.001368925393564"/>
    <x v="1"/>
    <x v="0"/>
    <x v="2"/>
    <x v="2"/>
    <x v="2"/>
    <x v="1"/>
    <n v="1.3"/>
    <n v="309.5"/>
    <n v="3.4"/>
    <n v="73"/>
    <n v="1259"/>
    <n v="114.7"/>
    <n v="108"/>
    <n v="167"/>
    <n v="10.6"/>
    <x v="0"/>
  </r>
  <r>
    <n v="354"/>
    <n v="990"/>
    <x v="0"/>
    <x v="2"/>
    <n v="59.000684462696782"/>
    <x v="0"/>
    <x v="0"/>
    <x v="2"/>
    <x v="2"/>
    <x v="2"/>
    <x v="1"/>
    <n v="1.3"/>
    <n v="309.5"/>
    <n v="3.12"/>
    <n v="73"/>
    <n v="1259"/>
    <n v="114.7"/>
    <n v="108"/>
    <n v="125"/>
    <n v="9.6"/>
    <x v="2"/>
  </r>
  <r>
    <n v="355"/>
    <n v="2338"/>
    <x v="1"/>
    <x v="2"/>
    <n v="39.000684462696782"/>
    <x v="2"/>
    <x v="0"/>
    <x v="2"/>
    <x v="2"/>
    <x v="2"/>
    <x v="1"/>
    <n v="1.6"/>
    <n v="309.5"/>
    <n v="3.75"/>
    <n v="73"/>
    <n v="1259"/>
    <n v="114.7"/>
    <n v="108"/>
    <n v="145"/>
    <n v="10.4"/>
    <x v="1"/>
  </r>
  <r>
    <n v="356"/>
    <n v="1616"/>
    <x v="0"/>
    <x v="2"/>
    <n v="67.000684462696782"/>
    <x v="1"/>
    <x v="0"/>
    <x v="2"/>
    <x v="2"/>
    <x v="2"/>
    <x v="2"/>
    <n v="2.2000000000000002"/>
    <n v="309.5"/>
    <n v="3.26"/>
    <n v="73"/>
    <n v="1259"/>
    <n v="114.7"/>
    <n v="108"/>
    <n v="171"/>
    <n v="11.1"/>
    <x v="0"/>
  </r>
  <r>
    <n v="357"/>
    <n v="2563"/>
    <x v="1"/>
    <x v="2"/>
    <n v="58.001368925393564"/>
    <x v="0"/>
    <x v="0"/>
    <x v="2"/>
    <x v="2"/>
    <x v="2"/>
    <x v="1"/>
    <n v="3"/>
    <n v="309.5"/>
    <n v="3.46"/>
    <n v="73"/>
    <n v="1259"/>
    <n v="114.7"/>
    <n v="108"/>
    <n v="109"/>
    <n v="10.4"/>
    <x v="0"/>
  </r>
  <r>
    <n v="358"/>
    <n v="2537"/>
    <x v="1"/>
    <x v="2"/>
    <n v="64"/>
    <x v="1"/>
    <x v="0"/>
    <x v="2"/>
    <x v="2"/>
    <x v="2"/>
    <x v="1"/>
    <n v="0.8"/>
    <n v="309.5"/>
    <n v="3.49"/>
    <n v="73"/>
    <n v="1259"/>
    <n v="114.7"/>
    <n v="108"/>
    <n v="314"/>
    <n v="10.3"/>
    <x v="1"/>
  </r>
  <r>
    <n v="359"/>
    <n v="2534"/>
    <x v="1"/>
    <x v="2"/>
    <n v="46.001368925393564"/>
    <x v="0"/>
    <x v="0"/>
    <x v="2"/>
    <x v="2"/>
    <x v="2"/>
    <x v="1"/>
    <n v="0.8"/>
    <n v="309.5"/>
    <n v="2.89"/>
    <n v="73"/>
    <n v="1259"/>
    <n v="114.7"/>
    <n v="108"/>
    <n v="419"/>
    <n v="10.6"/>
    <x v="3"/>
  </r>
  <r>
    <n v="360"/>
    <n v="778"/>
    <x v="0"/>
    <x v="2"/>
    <n v="64"/>
    <x v="1"/>
    <x v="0"/>
    <x v="2"/>
    <x v="2"/>
    <x v="2"/>
    <x v="1"/>
    <n v="1.8"/>
    <n v="309.5"/>
    <n v="3.15"/>
    <n v="73"/>
    <n v="1259"/>
    <n v="114.7"/>
    <n v="108"/>
    <n v="183"/>
    <n v="10.4"/>
    <x v="0"/>
  </r>
  <r>
    <n v="361"/>
    <n v="617"/>
    <x v="2"/>
    <x v="2"/>
    <n v="40.999315537303218"/>
    <x v="0"/>
    <x v="0"/>
    <x v="2"/>
    <x v="2"/>
    <x v="2"/>
    <x v="1"/>
    <n v="5.5"/>
    <n v="309.5"/>
    <n v="2.31"/>
    <n v="73"/>
    <n v="1259"/>
    <n v="114.7"/>
    <n v="108"/>
    <n v="517"/>
    <n v="10.4"/>
    <x v="0"/>
  </r>
  <r>
    <n v="362"/>
    <n v="2267"/>
    <x v="2"/>
    <x v="2"/>
    <n v="48.999315537303218"/>
    <x v="0"/>
    <x v="0"/>
    <x v="2"/>
    <x v="2"/>
    <x v="2"/>
    <x v="1"/>
    <n v="18"/>
    <n v="309.5"/>
    <n v="3.04"/>
    <n v="73"/>
    <n v="1259"/>
    <n v="114.7"/>
    <n v="108"/>
    <n v="432"/>
    <n v="9.6999999999999993"/>
    <x v="2"/>
  </r>
  <r>
    <n v="363"/>
    <n v="2249"/>
    <x v="1"/>
    <x v="2"/>
    <n v="44"/>
    <x v="0"/>
    <x v="0"/>
    <x v="2"/>
    <x v="2"/>
    <x v="2"/>
    <x v="1"/>
    <n v="0.6"/>
    <n v="309.5"/>
    <n v="3.5"/>
    <n v="73"/>
    <n v="1259"/>
    <n v="114.7"/>
    <n v="108"/>
    <n v="150"/>
    <n v="9.9"/>
    <x v="1"/>
  </r>
  <r>
    <n v="364"/>
    <n v="359"/>
    <x v="0"/>
    <x v="2"/>
    <n v="59.000684462696782"/>
    <x v="0"/>
    <x v="0"/>
    <x v="2"/>
    <x v="2"/>
    <x v="2"/>
    <x v="1"/>
    <n v="2.7"/>
    <n v="309.5"/>
    <n v="3.35"/>
    <n v="73"/>
    <n v="1259"/>
    <n v="114.7"/>
    <n v="108"/>
    <n v="142"/>
    <n v="11.5"/>
    <x v="0"/>
  </r>
  <r>
    <n v="365"/>
    <n v="1925"/>
    <x v="1"/>
    <x v="2"/>
    <n v="63.000684462696782"/>
    <x v="1"/>
    <x v="0"/>
    <x v="2"/>
    <x v="2"/>
    <x v="2"/>
    <x v="1"/>
    <n v="0.9"/>
    <n v="309.5"/>
    <n v="3.58"/>
    <n v="73"/>
    <n v="1259"/>
    <n v="114.7"/>
    <n v="108"/>
    <n v="224"/>
    <n v="10"/>
    <x v="1"/>
  </r>
  <r>
    <n v="366"/>
    <n v="249"/>
    <x v="0"/>
    <x v="2"/>
    <n v="60.999315537303218"/>
    <x v="1"/>
    <x v="0"/>
    <x v="2"/>
    <x v="2"/>
    <x v="2"/>
    <x v="1"/>
    <n v="1.3"/>
    <n v="309.5"/>
    <n v="3.01"/>
    <n v="73"/>
    <n v="1259"/>
    <n v="114.7"/>
    <n v="108"/>
    <n v="223"/>
    <n v="10.7"/>
    <x v="1"/>
  </r>
  <r>
    <n v="367"/>
    <n v="2202"/>
    <x v="1"/>
    <x v="2"/>
    <n v="64"/>
    <x v="1"/>
    <x v="0"/>
    <x v="2"/>
    <x v="2"/>
    <x v="2"/>
    <x v="1"/>
    <n v="1.1000000000000001"/>
    <n v="309.5"/>
    <n v="3.49"/>
    <n v="73"/>
    <n v="1259"/>
    <n v="114.7"/>
    <n v="108"/>
    <n v="166"/>
    <n v="9.8000000000000007"/>
    <x v="1"/>
  </r>
  <r>
    <n v="368"/>
    <n v="43"/>
    <x v="0"/>
    <x v="2"/>
    <n v="48.999315537303218"/>
    <x v="0"/>
    <x v="0"/>
    <x v="2"/>
    <x v="2"/>
    <x v="2"/>
    <x v="1"/>
    <n v="13.8"/>
    <n v="309.5"/>
    <n v="2.77"/>
    <n v="73"/>
    <n v="1259"/>
    <n v="114.7"/>
    <n v="108"/>
    <n v="388"/>
    <n v="10.6"/>
    <x v="0"/>
  </r>
  <r>
    <n v="369"/>
    <n v="1197"/>
    <x v="0"/>
    <x v="2"/>
    <n v="42.001368925393564"/>
    <x v="0"/>
    <x v="0"/>
    <x v="2"/>
    <x v="2"/>
    <x v="2"/>
    <x v="1"/>
    <n v="4.4000000000000004"/>
    <n v="309.5"/>
    <n v="4.5199999999999996"/>
    <n v="73"/>
    <n v="1259"/>
    <n v="114.7"/>
    <n v="108"/>
    <n v="102"/>
    <n v="10.8"/>
    <x v="0"/>
  </r>
  <r>
    <n v="370"/>
    <n v="1095"/>
    <x v="0"/>
    <x v="2"/>
    <n v="50.001368925393564"/>
    <x v="0"/>
    <x v="0"/>
    <x v="2"/>
    <x v="2"/>
    <x v="2"/>
    <x v="1"/>
    <n v="16"/>
    <n v="309.5"/>
    <n v="3.36"/>
    <n v="73"/>
    <n v="1259"/>
    <n v="114.7"/>
    <n v="108"/>
    <n v="384"/>
    <n v="10"/>
    <x v="1"/>
  </r>
  <r>
    <n v="371"/>
    <n v="489"/>
    <x v="0"/>
    <x v="2"/>
    <n v="51.000684462696782"/>
    <x v="0"/>
    <x v="0"/>
    <x v="2"/>
    <x v="2"/>
    <x v="2"/>
    <x v="2"/>
    <n v="7.3"/>
    <n v="309.5"/>
    <n v="3.52"/>
    <n v="73"/>
    <n v="1259"/>
    <n v="114.7"/>
    <n v="108"/>
    <n v="265"/>
    <n v="11.1"/>
    <x v="3"/>
  </r>
  <r>
    <n v="372"/>
    <n v="2149"/>
    <x v="1"/>
    <x v="2"/>
    <n v="36.999315537303218"/>
    <x v="2"/>
    <x v="0"/>
    <x v="2"/>
    <x v="2"/>
    <x v="2"/>
    <x v="1"/>
    <n v="0.6"/>
    <n v="309.5"/>
    <n v="3.55"/>
    <n v="73"/>
    <n v="1259"/>
    <n v="114.7"/>
    <n v="108"/>
    <n v="248"/>
    <n v="10.3"/>
    <x v="2"/>
  </r>
  <r>
    <n v="373"/>
    <n v="2103"/>
    <x v="1"/>
    <x v="2"/>
    <n v="62.001368925393564"/>
    <x v="1"/>
    <x v="0"/>
    <x v="2"/>
    <x v="2"/>
    <x v="2"/>
    <x v="1"/>
    <n v="0.7"/>
    <n v="309.5"/>
    <n v="3.29"/>
    <n v="73"/>
    <n v="1259"/>
    <n v="114.7"/>
    <n v="108"/>
    <n v="190"/>
    <n v="9.8000000000000007"/>
    <x v="2"/>
  </r>
  <r>
    <n v="374"/>
    <n v="1980"/>
    <x v="1"/>
    <x v="2"/>
    <n v="51.000684462696782"/>
    <x v="0"/>
    <x v="0"/>
    <x v="2"/>
    <x v="2"/>
    <x v="2"/>
    <x v="1"/>
    <n v="0.7"/>
    <n v="309.5"/>
    <n v="3.1"/>
    <n v="73"/>
    <n v="1259"/>
    <n v="114.7"/>
    <n v="108"/>
    <n v="274"/>
    <n v="10.6"/>
    <x v="1"/>
  </r>
  <r>
    <n v="375"/>
    <n v="1347"/>
    <x v="2"/>
    <x v="2"/>
    <n v="52"/>
    <x v="0"/>
    <x v="0"/>
    <x v="2"/>
    <x v="2"/>
    <x v="2"/>
    <x v="1"/>
    <n v="1.7"/>
    <n v="309.5"/>
    <n v="3.24"/>
    <n v="73"/>
    <n v="1259"/>
    <n v="114.7"/>
    <n v="108"/>
    <n v="231"/>
    <n v="10.5"/>
    <x v="1"/>
  </r>
  <r>
    <n v="376"/>
    <n v="1478"/>
    <x v="0"/>
    <x v="2"/>
    <n v="44"/>
    <x v="0"/>
    <x v="1"/>
    <x v="2"/>
    <x v="2"/>
    <x v="2"/>
    <x v="1"/>
    <n v="9.5"/>
    <n v="309.5"/>
    <n v="3.63"/>
    <n v="73"/>
    <n v="1259"/>
    <n v="114.7"/>
    <n v="108"/>
    <n v="292"/>
    <n v="10.199999999999999"/>
    <x v="1"/>
  </r>
  <r>
    <n v="377"/>
    <n v="1987"/>
    <x v="1"/>
    <x v="2"/>
    <n v="32.999315537303218"/>
    <x v="2"/>
    <x v="0"/>
    <x v="2"/>
    <x v="2"/>
    <x v="2"/>
    <x v="1"/>
    <n v="2.2000000000000002"/>
    <n v="309.5"/>
    <n v="3.76"/>
    <n v="73"/>
    <n v="1259"/>
    <n v="114.7"/>
    <n v="108"/>
    <n v="253"/>
    <n v="9.9"/>
    <x v="1"/>
  </r>
  <r>
    <n v="378"/>
    <n v="1168"/>
    <x v="0"/>
    <x v="2"/>
    <n v="60"/>
    <x v="1"/>
    <x v="0"/>
    <x v="2"/>
    <x v="2"/>
    <x v="2"/>
    <x v="2"/>
    <n v="1.8"/>
    <n v="309.5"/>
    <n v="3.62"/>
    <n v="73"/>
    <n v="1259"/>
    <n v="114.7"/>
    <n v="108"/>
    <n v="225"/>
    <n v="9.9"/>
    <x v="2"/>
  </r>
  <r>
    <n v="379"/>
    <n v="597"/>
    <x v="0"/>
    <x v="2"/>
    <n v="63.000684462696782"/>
    <x v="1"/>
    <x v="0"/>
    <x v="2"/>
    <x v="2"/>
    <x v="2"/>
    <x v="2"/>
    <n v="3.3"/>
    <n v="309.5"/>
    <n v="2.73"/>
    <n v="73"/>
    <n v="1259"/>
    <n v="114.7"/>
    <n v="108"/>
    <n v="224"/>
    <n v="11.1"/>
    <x v="0"/>
  </r>
  <r>
    <n v="380"/>
    <n v="1725"/>
    <x v="2"/>
    <x v="2"/>
    <n v="32.999315537303218"/>
    <x v="2"/>
    <x v="0"/>
    <x v="2"/>
    <x v="2"/>
    <x v="2"/>
    <x v="1"/>
    <n v="2.9"/>
    <n v="309.5"/>
    <n v="4.08"/>
    <n v="73"/>
    <n v="1259"/>
    <n v="114.7"/>
    <n v="108"/>
    <n v="418"/>
    <n v="10.5"/>
    <x v="1"/>
  </r>
  <r>
    <n v="381"/>
    <n v="1899"/>
    <x v="1"/>
    <x v="2"/>
    <n v="40.999315537303218"/>
    <x v="0"/>
    <x v="1"/>
    <x v="2"/>
    <x v="2"/>
    <x v="2"/>
    <x v="1"/>
    <n v="1.7"/>
    <n v="309.5"/>
    <n v="3.66"/>
    <n v="73"/>
    <n v="1259"/>
    <n v="114.7"/>
    <n v="108"/>
    <n v="92"/>
    <n v="11"/>
    <x v="0"/>
  </r>
  <r>
    <n v="382"/>
    <n v="221"/>
    <x v="0"/>
    <x v="2"/>
    <n v="51.000684462696782"/>
    <x v="0"/>
    <x v="0"/>
    <x v="2"/>
    <x v="2"/>
    <x v="2"/>
    <x v="1"/>
    <n v="14"/>
    <n v="309.5"/>
    <n v="2.58"/>
    <n v="73"/>
    <n v="1259"/>
    <n v="114.7"/>
    <n v="108"/>
    <n v="190"/>
    <n v="11.6"/>
    <x v="0"/>
  </r>
  <r>
    <n v="383"/>
    <n v="1022"/>
    <x v="2"/>
    <x v="2"/>
    <n v="36.999315537303218"/>
    <x v="2"/>
    <x v="0"/>
    <x v="2"/>
    <x v="2"/>
    <x v="2"/>
    <x v="2"/>
    <n v="0.8"/>
    <n v="309.5"/>
    <n v="3"/>
    <n v="73"/>
    <n v="1259"/>
    <n v="114.7"/>
    <n v="108"/>
    <n v="76"/>
    <n v="10.8"/>
    <x v="0"/>
  </r>
  <r>
    <n v="384"/>
    <n v="1639"/>
    <x v="1"/>
    <x v="2"/>
    <n v="59.000684462696782"/>
    <x v="0"/>
    <x v="0"/>
    <x v="2"/>
    <x v="2"/>
    <x v="2"/>
    <x v="1"/>
    <n v="1.3"/>
    <n v="309.5"/>
    <n v="3.4"/>
    <n v="73"/>
    <n v="1259"/>
    <n v="114.7"/>
    <n v="108"/>
    <n v="243"/>
    <n v="9.6999999999999993"/>
    <x v="3"/>
  </r>
  <r>
    <n v="385"/>
    <n v="1635"/>
    <x v="1"/>
    <x v="2"/>
    <n v="55.000684462696782"/>
    <x v="0"/>
    <x v="0"/>
    <x v="2"/>
    <x v="2"/>
    <x v="2"/>
    <x v="1"/>
    <n v="0.7"/>
    <n v="309.5"/>
    <n v="2.93"/>
    <n v="73"/>
    <n v="1259"/>
    <n v="114.7"/>
    <n v="108"/>
    <n v="209"/>
    <n v="10.6"/>
    <x v="1"/>
  </r>
  <r>
    <n v="386"/>
    <n v="1654"/>
    <x v="1"/>
    <x v="2"/>
    <n v="54.001368925393564"/>
    <x v="0"/>
    <x v="1"/>
    <x v="2"/>
    <x v="2"/>
    <x v="2"/>
    <x v="1"/>
    <n v="1.7"/>
    <n v="309.5"/>
    <n v="2.38"/>
    <n v="73"/>
    <n v="1259"/>
    <n v="114.7"/>
    <n v="108"/>
    <n v="166"/>
    <n v="9.8000000000000007"/>
    <x v="1"/>
  </r>
  <r>
    <n v="387"/>
    <n v="1653"/>
    <x v="1"/>
    <x v="2"/>
    <n v="48.999315537303218"/>
    <x v="0"/>
    <x v="0"/>
    <x v="2"/>
    <x v="2"/>
    <x v="2"/>
    <x v="2"/>
    <n v="13.6"/>
    <n v="309.5"/>
    <n v="3"/>
    <n v="73"/>
    <n v="1259"/>
    <n v="114.7"/>
    <n v="108"/>
    <n v="233"/>
    <n v="9.9"/>
    <x v="1"/>
  </r>
  <r>
    <n v="388"/>
    <n v="1560"/>
    <x v="1"/>
    <x v="2"/>
    <n v="40"/>
    <x v="0"/>
    <x v="0"/>
    <x v="2"/>
    <x v="2"/>
    <x v="2"/>
    <x v="1"/>
    <n v="0.9"/>
    <n v="309.5"/>
    <n v="3.5"/>
    <n v="73"/>
    <n v="1259"/>
    <n v="114.7"/>
    <n v="108"/>
    <n v="117"/>
    <n v="10.9"/>
    <x v="0"/>
  </r>
  <r>
    <n v="389"/>
    <n v="1581"/>
    <x v="1"/>
    <x v="2"/>
    <n v="67.000684462696782"/>
    <x v="1"/>
    <x v="0"/>
    <x v="2"/>
    <x v="2"/>
    <x v="2"/>
    <x v="1"/>
    <n v="0.7"/>
    <n v="309.5"/>
    <n v="3.06"/>
    <n v="73"/>
    <n v="1259"/>
    <n v="114.7"/>
    <n v="108"/>
    <n v="165"/>
    <n v="10"/>
    <x v="0"/>
  </r>
  <r>
    <n v="390"/>
    <n v="1419"/>
    <x v="1"/>
    <x v="2"/>
    <n v="68"/>
    <x v="1"/>
    <x v="1"/>
    <x v="2"/>
    <x v="2"/>
    <x v="2"/>
    <x v="1"/>
    <n v="3"/>
    <n v="309.5"/>
    <n v="3.15"/>
    <n v="73"/>
    <n v="1259"/>
    <n v="114.7"/>
    <n v="108"/>
    <n v="139"/>
    <n v="10"/>
    <x v="1"/>
  </r>
  <r>
    <n v="391"/>
    <n v="1443"/>
    <x v="1"/>
    <x v="2"/>
    <n v="40.999315537303218"/>
    <x v="0"/>
    <x v="0"/>
    <x v="2"/>
    <x v="2"/>
    <x v="2"/>
    <x v="1"/>
    <n v="1.2"/>
    <n v="309.5"/>
    <n v="2.8"/>
    <n v="73"/>
    <n v="1259"/>
    <n v="114.7"/>
    <n v="108"/>
    <n v="120"/>
    <n v="11"/>
    <x v="2"/>
  </r>
  <r>
    <n v="392"/>
    <n v="1368"/>
    <x v="1"/>
    <x v="2"/>
    <n v="68.999315537303218"/>
    <x v="1"/>
    <x v="0"/>
    <x v="2"/>
    <x v="2"/>
    <x v="2"/>
    <x v="1"/>
    <n v="0.4"/>
    <n v="309.5"/>
    <n v="3.03"/>
    <n v="73"/>
    <n v="1259"/>
    <n v="114.7"/>
    <n v="108"/>
    <n v="173"/>
    <n v="10.9"/>
    <x v="1"/>
  </r>
  <r>
    <n v="393"/>
    <n v="193"/>
    <x v="0"/>
    <x v="2"/>
    <n v="52"/>
    <x v="0"/>
    <x v="0"/>
    <x v="2"/>
    <x v="2"/>
    <x v="2"/>
    <x v="2"/>
    <n v="0.7"/>
    <n v="309.5"/>
    <n v="2.96"/>
    <n v="73"/>
    <n v="1259"/>
    <n v="114.7"/>
    <n v="108"/>
    <n v="319"/>
    <n v="9.9"/>
    <x v="0"/>
  </r>
  <r>
    <n v="394"/>
    <n v="1367"/>
    <x v="1"/>
    <x v="2"/>
    <n v="56.999315537303218"/>
    <x v="0"/>
    <x v="0"/>
    <x v="2"/>
    <x v="2"/>
    <x v="2"/>
    <x v="2"/>
    <n v="2"/>
    <n v="309.5"/>
    <n v="3.07"/>
    <n v="73"/>
    <n v="1259"/>
    <n v="114.7"/>
    <n v="108"/>
    <n v="80"/>
    <n v="12.1"/>
    <x v="0"/>
  </r>
  <r>
    <n v="395"/>
    <n v="1329"/>
    <x v="1"/>
    <x v="2"/>
    <n v="36"/>
    <x v="2"/>
    <x v="0"/>
    <x v="2"/>
    <x v="2"/>
    <x v="2"/>
    <x v="1"/>
    <n v="1.4"/>
    <n v="309.5"/>
    <n v="3.98"/>
    <n v="73"/>
    <n v="1259"/>
    <n v="114.7"/>
    <n v="108"/>
    <n v="402"/>
    <n v="11"/>
    <x v="3"/>
  </r>
  <r>
    <n v="396"/>
    <n v="1343"/>
    <x v="1"/>
    <x v="2"/>
    <n v="50.001368925393564"/>
    <x v="0"/>
    <x v="0"/>
    <x v="2"/>
    <x v="2"/>
    <x v="2"/>
    <x v="1"/>
    <n v="1.6"/>
    <n v="309.5"/>
    <n v="3.48"/>
    <n v="73"/>
    <n v="1259"/>
    <n v="114.7"/>
    <n v="108"/>
    <n v="277"/>
    <n v="10.199999999999999"/>
    <x v="2"/>
  </r>
  <r>
    <n v="397"/>
    <n v="1328"/>
    <x v="1"/>
    <x v="2"/>
    <n v="64"/>
    <x v="1"/>
    <x v="0"/>
    <x v="2"/>
    <x v="2"/>
    <x v="2"/>
    <x v="1"/>
    <n v="0.5"/>
    <n v="309.5"/>
    <n v="3.65"/>
    <n v="73"/>
    <n v="1259"/>
    <n v="114.7"/>
    <n v="108"/>
    <n v="425"/>
    <n v="10.199999999999999"/>
    <x v="0"/>
  </r>
  <r>
    <n v="398"/>
    <n v="1375"/>
    <x v="1"/>
    <x v="2"/>
    <n v="62.001368925393564"/>
    <x v="1"/>
    <x v="0"/>
    <x v="2"/>
    <x v="2"/>
    <x v="2"/>
    <x v="1"/>
    <n v="7.3"/>
    <n v="309.5"/>
    <n v="3.49"/>
    <n v="73"/>
    <n v="1259"/>
    <n v="114.7"/>
    <n v="108"/>
    <n v="189"/>
    <n v="10.9"/>
    <x v="0"/>
  </r>
  <r>
    <n v="399"/>
    <n v="1260"/>
    <x v="1"/>
    <x v="2"/>
    <n v="42.001368925393564"/>
    <x v="0"/>
    <x v="0"/>
    <x v="2"/>
    <x v="2"/>
    <x v="2"/>
    <x v="1"/>
    <n v="8.1"/>
    <n v="309.5"/>
    <n v="2.82"/>
    <n v="73"/>
    <n v="1259"/>
    <n v="114.7"/>
    <n v="108"/>
    <n v="193"/>
    <n v="10.4"/>
    <x v="2"/>
  </r>
  <r>
    <n v="400"/>
    <n v="1223"/>
    <x v="1"/>
    <x v="2"/>
    <n v="44"/>
    <x v="0"/>
    <x v="0"/>
    <x v="2"/>
    <x v="2"/>
    <x v="2"/>
    <x v="1"/>
    <n v="0.5"/>
    <n v="309.5"/>
    <n v="3.34"/>
    <n v="73"/>
    <n v="1259"/>
    <n v="114.7"/>
    <n v="108"/>
    <n v="258"/>
    <n v="10.6"/>
    <x v="2"/>
  </r>
  <r>
    <n v="401"/>
    <n v="935"/>
    <x v="0"/>
    <x v="2"/>
    <n v="68.999315537303218"/>
    <x v="1"/>
    <x v="0"/>
    <x v="2"/>
    <x v="2"/>
    <x v="2"/>
    <x v="1"/>
    <n v="4.2"/>
    <n v="309.5"/>
    <n v="3.19"/>
    <n v="73"/>
    <n v="1259"/>
    <n v="114.7"/>
    <n v="108"/>
    <n v="120"/>
    <n v="11.1"/>
    <x v="0"/>
  </r>
  <r>
    <n v="402"/>
    <n v="943"/>
    <x v="1"/>
    <x v="2"/>
    <n v="52"/>
    <x v="0"/>
    <x v="0"/>
    <x v="2"/>
    <x v="2"/>
    <x v="2"/>
    <x v="1"/>
    <n v="0.8"/>
    <n v="309.5"/>
    <n v="3.01"/>
    <n v="73"/>
    <n v="1259"/>
    <n v="114.7"/>
    <n v="108"/>
    <n v="256"/>
    <n v="10.6"/>
    <x v="1"/>
  </r>
  <r>
    <n v="403"/>
    <n v="1141"/>
    <x v="1"/>
    <x v="2"/>
    <n v="66.001368925393564"/>
    <x v="1"/>
    <x v="0"/>
    <x v="2"/>
    <x v="2"/>
    <x v="2"/>
    <x v="1"/>
    <n v="2.5"/>
    <n v="309.5"/>
    <n v="3.33"/>
    <n v="73"/>
    <n v="1259"/>
    <n v="114.7"/>
    <n v="108"/>
    <n v="256"/>
    <n v="10.8"/>
    <x v="0"/>
  </r>
  <r>
    <n v="404"/>
    <n v="1092"/>
    <x v="1"/>
    <x v="2"/>
    <n v="40"/>
    <x v="0"/>
    <x v="0"/>
    <x v="2"/>
    <x v="2"/>
    <x v="2"/>
    <x v="1"/>
    <n v="4.5999999999999996"/>
    <n v="309.5"/>
    <n v="3.6"/>
    <n v="73"/>
    <n v="1259"/>
    <n v="114.7"/>
    <n v="108"/>
    <n v="337"/>
    <n v="10.4"/>
    <x v="1"/>
  </r>
  <r>
    <n v="405"/>
    <n v="1150"/>
    <x v="1"/>
    <x v="2"/>
    <n v="52"/>
    <x v="0"/>
    <x v="0"/>
    <x v="2"/>
    <x v="2"/>
    <x v="2"/>
    <x v="1"/>
    <n v="1"/>
    <n v="309.5"/>
    <n v="3.64"/>
    <n v="73"/>
    <n v="1259"/>
    <n v="114.7"/>
    <n v="108"/>
    <n v="340"/>
    <n v="10.6"/>
    <x v="1"/>
  </r>
  <r>
    <n v="406"/>
    <n v="703"/>
    <x v="0"/>
    <x v="2"/>
    <n v="46.001368925393564"/>
    <x v="0"/>
    <x v="0"/>
    <x v="2"/>
    <x v="2"/>
    <x v="2"/>
    <x v="1"/>
    <n v="4.5"/>
    <n v="309.5"/>
    <n v="2.68"/>
    <n v="73"/>
    <n v="1259"/>
    <n v="114.7"/>
    <n v="108"/>
    <n v="219"/>
    <n v="11.5"/>
    <x v="0"/>
  </r>
  <r>
    <n v="407"/>
    <n v="1129"/>
    <x v="1"/>
    <x v="2"/>
    <n v="54.001368925393564"/>
    <x v="0"/>
    <x v="1"/>
    <x v="2"/>
    <x v="2"/>
    <x v="2"/>
    <x v="1"/>
    <n v="1.1000000000000001"/>
    <n v="309.5"/>
    <n v="3.69"/>
    <n v="73"/>
    <n v="1259"/>
    <n v="114.7"/>
    <n v="108"/>
    <n v="220"/>
    <n v="10.8"/>
    <x v="1"/>
  </r>
  <r>
    <n v="408"/>
    <n v="1086"/>
    <x v="1"/>
    <x v="2"/>
    <n v="51.000684462696782"/>
    <x v="0"/>
    <x v="0"/>
    <x v="2"/>
    <x v="2"/>
    <x v="2"/>
    <x v="2"/>
    <n v="1.9"/>
    <n v="309.5"/>
    <n v="3.17"/>
    <n v="73"/>
    <n v="1259"/>
    <n v="114.7"/>
    <n v="108"/>
    <n v="162"/>
    <n v="10.7"/>
    <x v="1"/>
  </r>
  <r>
    <n v="409"/>
    <n v="1067"/>
    <x v="1"/>
    <x v="2"/>
    <n v="43.000684462696782"/>
    <x v="0"/>
    <x v="0"/>
    <x v="2"/>
    <x v="2"/>
    <x v="2"/>
    <x v="1"/>
    <n v="0.7"/>
    <n v="309.5"/>
    <n v="3.73"/>
    <n v="73"/>
    <n v="1259"/>
    <n v="114.7"/>
    <n v="108"/>
    <n v="214"/>
    <n v="10.8"/>
    <x v="1"/>
  </r>
  <r>
    <n v="410"/>
    <n v="1072"/>
    <x v="1"/>
    <x v="2"/>
    <n v="39.000684462696782"/>
    <x v="2"/>
    <x v="0"/>
    <x v="2"/>
    <x v="2"/>
    <x v="2"/>
    <x v="1"/>
    <n v="1.5"/>
    <n v="309.5"/>
    <n v="3.81"/>
    <n v="73"/>
    <n v="1259"/>
    <n v="114.7"/>
    <n v="108"/>
    <n v="255"/>
    <n v="10.8"/>
    <x v="1"/>
  </r>
  <r>
    <n v="411"/>
    <n v="1119"/>
    <x v="1"/>
    <x v="2"/>
    <n v="51.000684462696782"/>
    <x v="0"/>
    <x v="0"/>
    <x v="2"/>
    <x v="2"/>
    <x v="2"/>
    <x v="1"/>
    <n v="0.6"/>
    <n v="309.5"/>
    <n v="3.57"/>
    <n v="73"/>
    <n v="1259"/>
    <n v="114.7"/>
    <n v="108"/>
    <n v="286"/>
    <n v="10.6"/>
    <x v="1"/>
  </r>
  <r>
    <n v="412"/>
    <n v="1097"/>
    <x v="1"/>
    <x v="2"/>
    <n v="67.000684462696782"/>
    <x v="1"/>
    <x v="0"/>
    <x v="2"/>
    <x v="2"/>
    <x v="2"/>
    <x v="1"/>
    <n v="1"/>
    <n v="309.5"/>
    <n v="3.58"/>
    <n v="73"/>
    <n v="1259"/>
    <n v="114.7"/>
    <n v="108"/>
    <n v="244"/>
    <n v="10.8"/>
    <x v="1"/>
  </r>
  <r>
    <n v="413"/>
    <n v="989"/>
    <x v="1"/>
    <x v="2"/>
    <n v="35.000684462696782"/>
    <x v="2"/>
    <x v="0"/>
    <x v="2"/>
    <x v="2"/>
    <x v="2"/>
    <x v="1"/>
    <n v="0.7"/>
    <n v="309.5"/>
    <n v="3.23"/>
    <n v="73"/>
    <n v="1259"/>
    <n v="114.7"/>
    <n v="108"/>
    <n v="312"/>
    <n v="10.8"/>
    <x v="1"/>
  </r>
  <r>
    <n v="414"/>
    <n v="681"/>
    <x v="0"/>
    <x v="2"/>
    <n v="67.000684462696782"/>
    <x v="1"/>
    <x v="0"/>
    <x v="2"/>
    <x v="2"/>
    <x v="2"/>
    <x v="1"/>
    <n v="1.2"/>
    <n v="309.5"/>
    <n v="2.96"/>
    <n v="73"/>
    <n v="1259"/>
    <n v="114.7"/>
    <n v="108"/>
    <n v="174"/>
    <n v="10.9"/>
    <x v="1"/>
  </r>
  <r>
    <n v="415"/>
    <n v="1103"/>
    <x v="1"/>
    <x v="2"/>
    <n v="39.000684462696782"/>
    <x v="2"/>
    <x v="0"/>
    <x v="2"/>
    <x v="2"/>
    <x v="2"/>
    <x v="1"/>
    <n v="0.9"/>
    <n v="309.5"/>
    <n v="3.83"/>
    <n v="73"/>
    <n v="1259"/>
    <n v="114.7"/>
    <n v="108"/>
    <n v="180"/>
    <n v="11.2"/>
    <x v="0"/>
  </r>
  <r>
    <n v="416"/>
    <n v="1055"/>
    <x v="1"/>
    <x v="2"/>
    <n v="56.999315537303218"/>
    <x v="0"/>
    <x v="0"/>
    <x v="2"/>
    <x v="2"/>
    <x v="2"/>
    <x v="1"/>
    <n v="1.6"/>
    <n v="309.5"/>
    <n v="3.42"/>
    <n v="73"/>
    <n v="1259"/>
    <n v="114.7"/>
    <n v="108"/>
    <n v="143"/>
    <n v="9.9"/>
    <x v="1"/>
  </r>
  <r>
    <n v="417"/>
    <n v="691"/>
    <x v="1"/>
    <x v="2"/>
    <n v="58.001368925393564"/>
    <x v="0"/>
    <x v="0"/>
    <x v="2"/>
    <x v="2"/>
    <x v="2"/>
    <x v="1"/>
    <n v="0.8"/>
    <n v="309.5"/>
    <n v="3.75"/>
    <n v="73"/>
    <n v="1259"/>
    <n v="114.7"/>
    <n v="108"/>
    <n v="269"/>
    <n v="10.4"/>
    <x v="1"/>
  </r>
  <r>
    <n v="418"/>
    <n v="976"/>
    <x v="1"/>
    <x v="2"/>
    <n v="52.999315537303218"/>
    <x v="0"/>
    <x v="0"/>
    <x v="2"/>
    <x v="2"/>
    <x v="2"/>
    <x v="1"/>
    <n v="0.7"/>
    <n v="309.5"/>
    <n v="3.29"/>
    <n v="73"/>
    <n v="1259"/>
    <n v="114.7"/>
    <n v="108"/>
    <n v="350"/>
    <n v="10.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8044F-929A-4530-8D8D-751019E80F7C}" name="PivotTable2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category" colHeaderCaption="Patient status">
  <location ref="B9:F14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2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2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2" count="0"/>
        </references>
      </pivotArea>
    </format>
    <format dxfId="19">
      <pivotArea dataOnly="0" labelOnly="1" grandCol="1" outline="0" fieldPosition="0"/>
    </format>
    <format dxfId="20">
      <pivotArea type="all" dataOnly="0" outline="0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type="origin" dataOnly="0" labelOnly="1" outline="0" fieldPosition="0"/>
    </format>
    <format dxfId="24">
      <pivotArea field="2" type="button" dataOnly="0" labelOnly="1" outline="0" axis="axisCol" fieldPosition="0"/>
    </format>
    <format dxfId="25">
      <pivotArea type="topRight" dataOnly="0" labelOnly="1" outline="0" fieldPosition="0"/>
    </format>
    <format dxfId="26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0"/>
        </references>
      </pivotArea>
    </format>
    <format dxfId="28">
      <pivotArea dataOnly="0" labelOnly="1" grandRow="1" outline="0" fieldPosition="0"/>
    </format>
    <format dxfId="29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type="origin" dataOnly="0" labelOnly="1" outline="0" fieldPosition="0"/>
    </format>
    <format dxfId="34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6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8">
      <pivotArea dataOnly="0" labelOnly="1" grandRow="1" outline="0" fieldPosition="0"/>
    </format>
    <format dxfId="39">
      <pivotArea dataOnly="0" labelOnly="1" fieldPosition="0">
        <references count="1">
          <reference field="2" count="0"/>
        </references>
      </pivotArea>
    </format>
    <format dxfId="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2414B-B04C-47B6-8F3A-91CA606AEDB2}" name="PivotTable2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Patient status">
  <location ref="B18:F22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41">
      <pivotArea type="all" dataOnly="0" outline="0" fieldPosition="0"/>
    </format>
    <format dxfId="42">
      <pivotArea outline="0" collapsedLevelsAreSubtotals="1" fieldPosition="0"/>
    </format>
    <format dxfId="43">
      <pivotArea type="origin" dataOnly="0" labelOnly="1" outline="0" fieldPosition="0"/>
    </format>
    <format dxfId="44">
      <pivotArea field="2" type="button" dataOnly="0" labelOnly="1" outline="0" axis="axisCol" fieldPosition="0"/>
    </format>
    <format dxfId="45">
      <pivotArea type="topRight" dataOnly="0" labelOnly="1" outline="0" fieldPosition="0"/>
    </format>
    <format dxfId="46">
      <pivotArea field="6" type="button" dataOnly="0" labelOnly="1" outline="0" axis="axisRow" fieldPosition="0"/>
    </format>
    <format dxfId="47">
      <pivotArea dataOnly="0" labelOnly="1" fieldPosition="0">
        <references count="1">
          <reference field="6" count="0"/>
        </references>
      </pivotArea>
    </format>
    <format dxfId="48">
      <pivotArea dataOnly="0" labelOnly="1" grandRow="1" outline="0" fieldPosition="0"/>
    </format>
    <format dxfId="49">
      <pivotArea dataOnly="0" labelOnly="1" fieldPosition="0">
        <references count="1">
          <reference field="2" count="0"/>
        </references>
      </pivotArea>
    </format>
    <format dxfId="50">
      <pivotArea dataOnly="0" labelOnly="1" grandCol="1" outline="0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type="origin" dataOnly="0" labelOnly="1" outline="0" fieldPosition="0"/>
    </format>
    <format dxfId="54">
      <pivotArea field="2" type="button" dataOnly="0" labelOnly="1" outline="0" axis="axisCol" fieldPosition="0"/>
    </format>
    <format dxfId="55">
      <pivotArea type="topRight" dataOnly="0" labelOnly="1" outline="0" fieldPosition="0"/>
    </format>
    <format dxfId="56">
      <pivotArea field="6" type="button" dataOnly="0" labelOnly="1" outline="0" axis="axisRow" fieldPosition="0"/>
    </format>
    <format dxfId="57">
      <pivotArea dataOnly="0" labelOnly="1" fieldPosition="0">
        <references count="1">
          <reference field="6" count="0"/>
        </references>
      </pivotArea>
    </format>
    <format dxfId="58">
      <pivotArea dataOnly="0" labelOnly="1" grandRow="1" outline="0" fieldPosition="0"/>
    </format>
    <format dxfId="59">
      <pivotArea dataOnly="0" labelOnly="1" fieldPosition="0">
        <references count="1">
          <reference field="2" count="0"/>
        </references>
      </pivotArea>
    </format>
    <format dxfId="60">
      <pivotArea dataOnly="0" labelOnly="1" grandCol="1" outline="0" fieldPosition="0"/>
    </format>
    <format dxfId="61">
      <pivotArea type="all" dataOnly="0" outline="0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type="origin" dataOnly="0" labelOnly="1" outline="0" fieldPosition="0"/>
    </format>
    <format dxfId="65">
      <pivotArea field="2" type="button" dataOnly="0" labelOnly="1" outline="0" axis="axisCol" fieldPosition="0"/>
    </format>
    <format dxfId="66">
      <pivotArea type="topRight" dataOnly="0" labelOnly="1" outline="0" fieldPosition="0"/>
    </format>
    <format dxfId="67">
      <pivotArea field="6" type="button" dataOnly="0" labelOnly="1" outline="0" axis="axisRow" fieldPosition="0"/>
    </format>
    <format dxfId="68">
      <pivotArea dataOnly="0" labelOnly="1" fieldPosition="0">
        <references count="1">
          <reference field="6" count="0"/>
        </references>
      </pivotArea>
    </format>
    <format dxfId="69">
      <pivotArea dataOnly="0" labelOnly="1" grandRow="1" outline="0" fieldPosition="0"/>
    </format>
    <format dxfId="70">
      <pivotArea dataOnly="0" labelOnly="1" fieldPosition="0">
        <references count="1">
          <reference field="2" count="0"/>
        </references>
      </pivotArea>
    </format>
    <format dxfId="71">
      <pivotArea dataOnly="0" labelOnly="1" grandCol="1" outline="0" fieldPosition="0"/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type="origin" dataOnly="0" labelOnly="1" outline="0" fieldPosition="0"/>
    </format>
    <format dxfId="75">
      <pivotArea field="2" type="button" dataOnly="0" labelOnly="1" outline="0" axis="axisCol" fieldPosition="0"/>
    </format>
    <format dxfId="76">
      <pivotArea type="topRight" dataOnly="0" labelOnly="1" outline="0" fieldPosition="0"/>
    </format>
    <format dxfId="77">
      <pivotArea field="6" type="button" dataOnly="0" labelOnly="1" outline="0" axis="axisRow" fieldPosition="0"/>
    </format>
    <format dxfId="78">
      <pivotArea dataOnly="0" labelOnly="1" fieldPosition="0">
        <references count="1">
          <reference field="6" count="0"/>
        </references>
      </pivotArea>
    </format>
    <format dxfId="79">
      <pivotArea dataOnly="0" labelOnly="1" grandRow="1" outline="0" fieldPosition="0"/>
    </format>
    <format dxfId="80">
      <pivotArea dataOnly="0" labelOnly="1" fieldPosition="0">
        <references count="1">
          <reference field="2" count="0"/>
        </references>
      </pivotArea>
    </format>
    <format dxfId="8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0ACF9-8784-41E6-9707-D2676CD27CF5}" name="PivotTable21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Ascites" colHeaderCaption="Patient status">
  <location ref="B29:F34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82">
      <pivotArea type="all" dataOnly="0" outline="0" fieldPosition="0"/>
    </format>
    <format dxfId="83">
      <pivotArea outline="0" collapsedLevelsAreSubtotals="1" fieldPosition="0"/>
    </format>
    <format dxfId="84">
      <pivotArea type="origin" dataOnly="0" labelOnly="1" outline="0" fieldPosition="0"/>
    </format>
    <format dxfId="85">
      <pivotArea field="2" type="button" dataOnly="0" labelOnly="1" outline="0" axis="axisCol" fieldPosition="0"/>
    </format>
    <format dxfId="86">
      <pivotArea type="topRight" dataOnly="0" labelOnly="1" outline="0" fieldPosition="0"/>
    </format>
    <format dxfId="87">
      <pivotArea field="7" type="button" dataOnly="0" labelOnly="1" outline="0" axis="axisRow" fieldPosition="0"/>
    </format>
    <format dxfId="88">
      <pivotArea dataOnly="0" labelOnly="1" fieldPosition="0">
        <references count="1">
          <reference field="7" count="0"/>
        </references>
      </pivotArea>
    </format>
    <format dxfId="89">
      <pivotArea dataOnly="0" labelOnly="1" grandRow="1" outline="0" fieldPosition="0"/>
    </format>
    <format dxfId="90">
      <pivotArea dataOnly="0" labelOnly="1" fieldPosition="0">
        <references count="1">
          <reference field="2" count="0"/>
        </references>
      </pivotArea>
    </format>
    <format dxfId="91">
      <pivotArea dataOnly="0" labelOnly="1" grandCol="1" outline="0" fieldPosition="0"/>
    </format>
    <format dxfId="92">
      <pivotArea type="all" dataOnly="0" outline="0" fieldPosition="0"/>
    </format>
    <format dxfId="93">
      <pivotArea outline="0" collapsedLevelsAreSubtotals="1" fieldPosition="0"/>
    </format>
    <format dxfId="94">
      <pivotArea type="origin" dataOnly="0" labelOnly="1" outline="0" fieldPosition="0"/>
    </format>
    <format dxfId="95">
      <pivotArea field="2" type="button" dataOnly="0" labelOnly="1" outline="0" axis="axisCol" fieldPosition="0"/>
    </format>
    <format dxfId="96">
      <pivotArea type="topRight" dataOnly="0" labelOnly="1" outline="0" fieldPosition="0"/>
    </format>
    <format dxfId="97">
      <pivotArea field="7" type="button" dataOnly="0" labelOnly="1" outline="0" axis="axisRow" fieldPosition="0"/>
    </format>
    <format dxfId="98">
      <pivotArea dataOnly="0" labelOnly="1" fieldPosition="0">
        <references count="1">
          <reference field="7" count="0"/>
        </references>
      </pivotArea>
    </format>
    <format dxfId="99">
      <pivotArea dataOnly="0" labelOnly="1" grandRow="1" outline="0" fieldPosition="0"/>
    </format>
    <format dxfId="100">
      <pivotArea dataOnly="0" labelOnly="1" fieldPosition="0">
        <references count="1">
          <reference field="2" count="0"/>
        </references>
      </pivotArea>
    </format>
    <format dxfId="101">
      <pivotArea dataOnly="0" labelOnly="1" grandCol="1" outline="0" fieldPosition="0"/>
    </format>
    <format dxfId="102">
      <pivotArea type="all" dataOnly="0" outline="0" fieldPosition="0"/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type="origin" dataOnly="0" labelOnly="1" outline="0" fieldPosition="0"/>
    </format>
    <format dxfId="106">
      <pivotArea field="2" type="button" dataOnly="0" labelOnly="1" outline="0" axis="axisCol" fieldPosition="0"/>
    </format>
    <format dxfId="107">
      <pivotArea type="topRight" dataOnly="0" labelOnly="1" outline="0" fieldPosition="0"/>
    </format>
    <format dxfId="108">
      <pivotArea field="7" type="button" dataOnly="0" labelOnly="1" outline="0" axis="axisRow" fieldPosition="0"/>
    </format>
    <format dxfId="109">
      <pivotArea dataOnly="0" labelOnly="1" fieldPosition="0">
        <references count="1">
          <reference field="7" count="0"/>
        </references>
      </pivotArea>
    </format>
    <format dxfId="110">
      <pivotArea dataOnly="0" labelOnly="1" grandRow="1" outline="0" fieldPosition="0"/>
    </format>
    <format dxfId="111">
      <pivotArea dataOnly="0" labelOnly="1" fieldPosition="0">
        <references count="1">
          <reference field="2" count="0"/>
        </references>
      </pivotArea>
    </format>
    <format dxfId="112">
      <pivotArea dataOnly="0" labelOnly="1" grandCol="1" outline="0" fieldPosition="0"/>
    </format>
    <format dxfId="113">
      <pivotArea type="all" dataOnly="0" outline="0" fieldPosition="0"/>
    </format>
    <format dxfId="114">
      <pivotArea outline="0" collapsedLevelsAreSubtotals="1" fieldPosition="0"/>
    </format>
    <format dxfId="115">
      <pivotArea type="origin" dataOnly="0" labelOnly="1" outline="0" fieldPosition="0"/>
    </format>
    <format dxfId="116">
      <pivotArea field="2" type="button" dataOnly="0" labelOnly="1" outline="0" axis="axisCol" fieldPosition="0"/>
    </format>
    <format dxfId="117">
      <pivotArea type="topRight" dataOnly="0" labelOnly="1" outline="0" fieldPosition="0"/>
    </format>
    <format dxfId="118">
      <pivotArea field="7" type="button" dataOnly="0" labelOnly="1" outline="0" axis="axisRow" fieldPosition="0"/>
    </format>
    <format dxfId="119">
      <pivotArea dataOnly="0" labelOnly="1" fieldPosition="0">
        <references count="1">
          <reference field="7" count="0"/>
        </references>
      </pivotArea>
    </format>
    <format dxfId="120">
      <pivotArea dataOnly="0" labelOnly="1" grandRow="1" outline="0" fieldPosition="0"/>
    </format>
    <format dxfId="121">
      <pivotArea dataOnly="0" labelOnly="1" fieldPosition="0">
        <references count="1">
          <reference field="2" count="0"/>
        </references>
      </pivotArea>
    </format>
    <format dxfId="1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2578B-BBD9-4CAB-BE1E-A159266AE94F}" name="PivotTable20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Hepatomegaly" colHeaderCaption="Patient status">
  <location ref="B38:F43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123">
      <pivotArea type="all" dataOnly="0" outline="0" fieldPosition="0"/>
    </format>
    <format dxfId="124">
      <pivotArea outline="0" collapsedLevelsAreSubtotals="1" fieldPosition="0"/>
    </format>
    <format dxfId="125">
      <pivotArea type="origin" dataOnly="0" labelOnly="1" outline="0" fieldPosition="0"/>
    </format>
    <format dxfId="126">
      <pivotArea field="2" type="button" dataOnly="0" labelOnly="1" outline="0" axis="axisCol" fieldPosition="0"/>
    </format>
    <format dxfId="127">
      <pivotArea type="topRight" dataOnly="0" labelOnly="1" outline="0" fieldPosition="0"/>
    </format>
    <format dxfId="128">
      <pivotArea field="8" type="button" dataOnly="0" labelOnly="1" outline="0" axis="axisRow" fieldPosition="0"/>
    </format>
    <format dxfId="129">
      <pivotArea dataOnly="0" labelOnly="1" fieldPosition="0">
        <references count="1">
          <reference field="8" count="0"/>
        </references>
      </pivotArea>
    </format>
    <format dxfId="130">
      <pivotArea dataOnly="0" labelOnly="1" grandRow="1" outline="0" fieldPosition="0"/>
    </format>
    <format dxfId="131">
      <pivotArea dataOnly="0" labelOnly="1" fieldPosition="0">
        <references count="1">
          <reference field="2" count="0"/>
        </references>
      </pivotArea>
    </format>
    <format dxfId="132">
      <pivotArea dataOnly="0" labelOnly="1" grandCol="1" outline="0" fieldPosition="0"/>
    </format>
    <format dxfId="133">
      <pivotArea type="all" dataOnly="0" outline="0" fieldPosition="0"/>
    </format>
    <format dxfId="134">
      <pivotArea outline="0" collapsedLevelsAreSubtotals="1" fieldPosition="0"/>
    </format>
    <format dxfId="135">
      <pivotArea type="origin" dataOnly="0" labelOnly="1" outline="0" fieldPosition="0"/>
    </format>
    <format dxfId="136">
      <pivotArea field="2" type="button" dataOnly="0" labelOnly="1" outline="0" axis="axisCol" fieldPosition="0"/>
    </format>
    <format dxfId="137">
      <pivotArea type="topRight" dataOnly="0" labelOnly="1" outline="0" fieldPosition="0"/>
    </format>
    <format dxfId="138">
      <pivotArea field="8" type="button" dataOnly="0" labelOnly="1" outline="0" axis="axisRow" fieldPosition="0"/>
    </format>
    <format dxfId="139">
      <pivotArea dataOnly="0" labelOnly="1" fieldPosition="0">
        <references count="1">
          <reference field="8" count="0"/>
        </references>
      </pivotArea>
    </format>
    <format dxfId="140">
      <pivotArea dataOnly="0" labelOnly="1" grandRow="1" outline="0" fieldPosition="0"/>
    </format>
    <format dxfId="141">
      <pivotArea dataOnly="0" labelOnly="1" fieldPosition="0">
        <references count="1">
          <reference field="2" count="0"/>
        </references>
      </pivotArea>
    </format>
    <format dxfId="142">
      <pivotArea dataOnly="0" labelOnly="1" grandCol="1" outline="0" fieldPosition="0"/>
    </format>
    <format dxfId="143">
      <pivotArea type="all" dataOnly="0" outline="0" fieldPosition="0"/>
    </format>
    <format dxfId="144">
      <pivotArea type="all" dataOnly="0" outline="0" fieldPosition="0"/>
    </format>
    <format dxfId="145">
      <pivotArea outline="0" collapsedLevelsAreSubtotals="1" fieldPosition="0"/>
    </format>
    <format dxfId="146">
      <pivotArea type="origin" dataOnly="0" labelOnly="1" outline="0" fieldPosition="0"/>
    </format>
    <format dxfId="147">
      <pivotArea field="2" type="button" dataOnly="0" labelOnly="1" outline="0" axis="axisCol" fieldPosition="0"/>
    </format>
    <format dxfId="148">
      <pivotArea type="topRight" dataOnly="0" labelOnly="1" outline="0" fieldPosition="0"/>
    </format>
    <format dxfId="149">
      <pivotArea field="8" type="button" dataOnly="0" labelOnly="1" outline="0" axis="axisRow" fieldPosition="0"/>
    </format>
    <format dxfId="150">
      <pivotArea dataOnly="0" labelOnly="1" fieldPosition="0">
        <references count="1">
          <reference field="8" count="0"/>
        </references>
      </pivotArea>
    </format>
    <format dxfId="151">
      <pivotArea dataOnly="0" labelOnly="1" grandRow="1" outline="0" fieldPosition="0"/>
    </format>
    <format dxfId="152">
      <pivotArea dataOnly="0" labelOnly="1" fieldPosition="0">
        <references count="1">
          <reference field="2" count="0"/>
        </references>
      </pivotArea>
    </format>
    <format dxfId="153">
      <pivotArea dataOnly="0" labelOnly="1" grandCol="1" outline="0" fieldPosition="0"/>
    </format>
    <format dxfId="154">
      <pivotArea type="all" dataOnly="0" outline="0" fieldPosition="0"/>
    </format>
    <format dxfId="155">
      <pivotArea outline="0" collapsedLevelsAreSubtotals="1" fieldPosition="0"/>
    </format>
    <format dxfId="156">
      <pivotArea type="origin" dataOnly="0" labelOnly="1" outline="0" fieldPosition="0"/>
    </format>
    <format dxfId="157">
      <pivotArea field="2" type="button" dataOnly="0" labelOnly="1" outline="0" axis="axisCol" fieldPosition="0"/>
    </format>
    <format dxfId="158">
      <pivotArea type="topRight" dataOnly="0" labelOnly="1" outline="0" fieldPosition="0"/>
    </format>
    <format dxfId="159">
      <pivotArea field="8" type="button" dataOnly="0" labelOnly="1" outline="0" axis="axisRow" fieldPosition="0"/>
    </format>
    <format dxfId="160">
      <pivotArea dataOnly="0" labelOnly="1" fieldPosition="0">
        <references count="1">
          <reference field="8" count="0"/>
        </references>
      </pivotArea>
    </format>
    <format dxfId="161">
      <pivotArea dataOnly="0" labelOnly="1" grandRow="1" outline="0" fieldPosition="0"/>
    </format>
    <format dxfId="162">
      <pivotArea dataOnly="0" labelOnly="1" fieldPosition="0">
        <references count="1">
          <reference field="2" count="0"/>
        </references>
      </pivotArea>
    </format>
    <format dxfId="16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05C33-4CD7-4F38-8099-DA4BE0D1A1EC}" name="PivotTable19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piders" colHeaderCaption="Patient status">
  <location ref="B47:F52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164">
      <pivotArea type="all" dataOnly="0" outline="0" fieldPosition="0"/>
    </format>
    <format dxfId="165">
      <pivotArea outline="0" collapsedLevelsAreSubtotals="1" fieldPosition="0"/>
    </format>
    <format dxfId="166">
      <pivotArea type="origin" dataOnly="0" labelOnly="1" outline="0" fieldPosition="0"/>
    </format>
    <format dxfId="167">
      <pivotArea field="2" type="button" dataOnly="0" labelOnly="1" outline="0" axis="axisCol" fieldPosition="0"/>
    </format>
    <format dxfId="168">
      <pivotArea type="topRight" dataOnly="0" labelOnly="1" outline="0" fieldPosition="0"/>
    </format>
    <format dxfId="169">
      <pivotArea field="9" type="button" dataOnly="0" labelOnly="1" outline="0" axis="axisRow" fieldPosition="0"/>
    </format>
    <format dxfId="170">
      <pivotArea dataOnly="0" labelOnly="1" fieldPosition="0">
        <references count="1">
          <reference field="9" count="0"/>
        </references>
      </pivotArea>
    </format>
    <format dxfId="171">
      <pivotArea dataOnly="0" labelOnly="1" grandRow="1" outline="0" fieldPosition="0"/>
    </format>
    <format dxfId="172">
      <pivotArea dataOnly="0" labelOnly="1" fieldPosition="0">
        <references count="1">
          <reference field="2" count="0"/>
        </references>
      </pivotArea>
    </format>
    <format dxfId="173">
      <pivotArea dataOnly="0" labelOnly="1" grandCol="1" outline="0" fieldPosition="0"/>
    </format>
    <format dxfId="174">
      <pivotArea type="all" dataOnly="0" outline="0" fieldPosition="0"/>
    </format>
    <format dxfId="175">
      <pivotArea outline="0" collapsedLevelsAreSubtotals="1" fieldPosition="0"/>
    </format>
    <format dxfId="176">
      <pivotArea type="origin" dataOnly="0" labelOnly="1" outline="0" fieldPosition="0"/>
    </format>
    <format dxfId="177">
      <pivotArea field="2" type="button" dataOnly="0" labelOnly="1" outline="0" axis="axisCol" fieldPosition="0"/>
    </format>
    <format dxfId="178">
      <pivotArea type="topRight" dataOnly="0" labelOnly="1" outline="0" fieldPosition="0"/>
    </format>
    <format dxfId="179">
      <pivotArea field="9" type="button" dataOnly="0" labelOnly="1" outline="0" axis="axisRow" fieldPosition="0"/>
    </format>
    <format dxfId="180">
      <pivotArea dataOnly="0" labelOnly="1" fieldPosition="0">
        <references count="1">
          <reference field="9" count="0"/>
        </references>
      </pivotArea>
    </format>
    <format dxfId="181">
      <pivotArea dataOnly="0" labelOnly="1" grandRow="1" outline="0" fieldPosition="0"/>
    </format>
    <format dxfId="182">
      <pivotArea dataOnly="0" labelOnly="1" fieldPosition="0">
        <references count="1">
          <reference field="2" count="0"/>
        </references>
      </pivotArea>
    </format>
    <format dxfId="183">
      <pivotArea dataOnly="0" labelOnly="1" grandCol="1" outline="0" fieldPosition="0"/>
    </format>
    <format dxfId="184">
      <pivotArea type="all" dataOnly="0" outline="0" fieldPosition="0"/>
    </format>
    <format dxfId="185">
      <pivotArea type="all" dataOnly="0" outline="0" fieldPosition="0"/>
    </format>
    <format dxfId="186">
      <pivotArea outline="0" collapsedLevelsAreSubtotals="1" fieldPosition="0"/>
    </format>
    <format dxfId="187">
      <pivotArea type="origin" dataOnly="0" labelOnly="1" outline="0" fieldPosition="0"/>
    </format>
    <format dxfId="188">
      <pivotArea field="2" type="button" dataOnly="0" labelOnly="1" outline="0" axis="axisCol" fieldPosition="0"/>
    </format>
    <format dxfId="189">
      <pivotArea type="topRight" dataOnly="0" labelOnly="1" outline="0" fieldPosition="0"/>
    </format>
    <format dxfId="190">
      <pivotArea field="9" type="button" dataOnly="0" labelOnly="1" outline="0" axis="axisRow" fieldPosition="0"/>
    </format>
    <format dxfId="191">
      <pivotArea dataOnly="0" labelOnly="1" fieldPosition="0">
        <references count="1">
          <reference field="9" count="0"/>
        </references>
      </pivotArea>
    </format>
    <format dxfId="192">
      <pivotArea dataOnly="0" labelOnly="1" grandRow="1" outline="0" fieldPosition="0"/>
    </format>
    <format dxfId="193">
      <pivotArea dataOnly="0" labelOnly="1" fieldPosition="0">
        <references count="1">
          <reference field="2" count="0"/>
        </references>
      </pivotArea>
    </format>
    <format dxfId="194">
      <pivotArea dataOnly="0" labelOnly="1" grandCol="1" outline="0" fieldPosition="0"/>
    </format>
    <format dxfId="195">
      <pivotArea type="all" dataOnly="0" outline="0" fieldPosition="0"/>
    </format>
    <format dxfId="196">
      <pivotArea outline="0" collapsedLevelsAreSubtotals="1" fieldPosition="0"/>
    </format>
    <format dxfId="197">
      <pivotArea type="origin" dataOnly="0" labelOnly="1" outline="0" fieldPosition="0"/>
    </format>
    <format dxfId="198">
      <pivotArea field="2" type="button" dataOnly="0" labelOnly="1" outline="0" axis="axisCol" fieldPosition="0"/>
    </format>
    <format dxfId="199">
      <pivotArea type="topRight" dataOnly="0" labelOnly="1" outline="0" fieldPosition="0"/>
    </format>
    <format dxfId="200">
      <pivotArea field="9" type="button" dataOnly="0" labelOnly="1" outline="0" axis="axisRow" fieldPosition="0"/>
    </format>
    <format dxfId="201">
      <pivotArea dataOnly="0" labelOnly="1" fieldPosition="0">
        <references count="1">
          <reference field="9" count="0"/>
        </references>
      </pivotArea>
    </format>
    <format dxfId="202">
      <pivotArea dataOnly="0" labelOnly="1" grandRow="1" outline="0" fieldPosition="0"/>
    </format>
    <format dxfId="203">
      <pivotArea dataOnly="0" labelOnly="1" fieldPosition="0">
        <references count="1">
          <reference field="2" count="0"/>
        </references>
      </pivotArea>
    </format>
    <format dxfId="20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F226C-4FD5-41E1-A485-69F8769B5A89}" name="PivotTable1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dema" colHeaderCaption="Patient status">
  <location ref="B56:F61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205">
      <pivotArea type="all" dataOnly="0" outline="0" fieldPosition="0"/>
    </format>
    <format dxfId="206">
      <pivotArea outline="0" collapsedLevelsAreSubtotals="1" fieldPosition="0"/>
    </format>
    <format dxfId="207">
      <pivotArea type="origin" dataOnly="0" labelOnly="1" outline="0" fieldPosition="0"/>
    </format>
    <format dxfId="208">
      <pivotArea field="2" type="button" dataOnly="0" labelOnly="1" outline="0" axis="axisCol" fieldPosition="0"/>
    </format>
    <format dxfId="209">
      <pivotArea type="topRight" dataOnly="0" labelOnly="1" outline="0" fieldPosition="0"/>
    </format>
    <format dxfId="210">
      <pivotArea field="10" type="button" dataOnly="0" labelOnly="1" outline="0" axis="axisRow" fieldPosition="0"/>
    </format>
    <format dxfId="211">
      <pivotArea dataOnly="0" labelOnly="1" fieldPosition="0">
        <references count="1">
          <reference field="10" count="0"/>
        </references>
      </pivotArea>
    </format>
    <format dxfId="212">
      <pivotArea dataOnly="0" labelOnly="1" grandRow="1" outline="0" fieldPosition="0"/>
    </format>
    <format dxfId="213">
      <pivotArea dataOnly="0" labelOnly="1" fieldPosition="0">
        <references count="1">
          <reference field="2" count="0"/>
        </references>
      </pivotArea>
    </format>
    <format dxfId="214">
      <pivotArea dataOnly="0" labelOnly="1" grandCol="1" outline="0" fieldPosition="0"/>
    </format>
    <format dxfId="215">
      <pivotArea type="all" dataOnly="0" outline="0" fieldPosition="0"/>
    </format>
    <format dxfId="216">
      <pivotArea outline="0" collapsedLevelsAreSubtotals="1" fieldPosition="0"/>
    </format>
    <format dxfId="217">
      <pivotArea type="origin" dataOnly="0" labelOnly="1" outline="0" fieldPosition="0"/>
    </format>
    <format dxfId="218">
      <pivotArea field="2" type="button" dataOnly="0" labelOnly="1" outline="0" axis="axisCol" fieldPosition="0"/>
    </format>
    <format dxfId="219">
      <pivotArea type="topRight" dataOnly="0" labelOnly="1" outline="0" fieldPosition="0"/>
    </format>
    <format dxfId="220">
      <pivotArea field="10" type="button" dataOnly="0" labelOnly="1" outline="0" axis="axisRow" fieldPosition="0"/>
    </format>
    <format dxfId="221">
      <pivotArea dataOnly="0" labelOnly="1" fieldPosition="0">
        <references count="1">
          <reference field="10" count="0"/>
        </references>
      </pivotArea>
    </format>
    <format dxfId="222">
      <pivotArea dataOnly="0" labelOnly="1" grandRow="1" outline="0" fieldPosition="0"/>
    </format>
    <format dxfId="223">
      <pivotArea dataOnly="0" labelOnly="1" fieldPosition="0">
        <references count="1">
          <reference field="2" count="0"/>
        </references>
      </pivotArea>
    </format>
    <format dxfId="224">
      <pivotArea dataOnly="0" labelOnly="1" grandCol="1" outline="0" fieldPosition="0"/>
    </format>
    <format dxfId="225">
      <pivotArea type="all" dataOnly="0" outline="0" fieldPosition="0"/>
    </format>
    <format dxfId="226">
      <pivotArea type="all" dataOnly="0" outline="0" fieldPosition="0"/>
    </format>
    <format dxfId="227">
      <pivotArea outline="0" collapsedLevelsAreSubtotals="1" fieldPosition="0"/>
    </format>
    <format dxfId="228">
      <pivotArea type="origin" dataOnly="0" labelOnly="1" outline="0" fieldPosition="0"/>
    </format>
    <format dxfId="229">
      <pivotArea field="2" type="button" dataOnly="0" labelOnly="1" outline="0" axis="axisCol" fieldPosition="0"/>
    </format>
    <format dxfId="230">
      <pivotArea type="topRight" dataOnly="0" labelOnly="1" outline="0" fieldPosition="0"/>
    </format>
    <format dxfId="231">
      <pivotArea field="10" type="button" dataOnly="0" labelOnly="1" outline="0" axis="axisRow" fieldPosition="0"/>
    </format>
    <format dxfId="232">
      <pivotArea dataOnly="0" labelOnly="1" fieldPosition="0">
        <references count="1">
          <reference field="10" count="0"/>
        </references>
      </pivotArea>
    </format>
    <format dxfId="233">
      <pivotArea dataOnly="0" labelOnly="1" grandRow="1" outline="0" fieldPosition="0"/>
    </format>
    <format dxfId="234">
      <pivotArea dataOnly="0" labelOnly="1" fieldPosition="0">
        <references count="1">
          <reference field="2" count="0"/>
        </references>
      </pivotArea>
    </format>
    <format dxfId="235">
      <pivotArea dataOnly="0" labelOnly="1" grandCol="1" outline="0" fieldPosition="0"/>
    </format>
    <format dxfId="236">
      <pivotArea type="all" dataOnly="0" outline="0" fieldPosition="0"/>
    </format>
    <format dxfId="237">
      <pivotArea outline="0" collapsedLevelsAreSubtotals="1" fieldPosition="0"/>
    </format>
    <format dxfId="238">
      <pivotArea type="origin" dataOnly="0" labelOnly="1" outline="0" fieldPosition="0"/>
    </format>
    <format dxfId="239">
      <pivotArea field="2" type="button" dataOnly="0" labelOnly="1" outline="0" axis="axisCol" fieldPosition="0"/>
    </format>
    <format dxfId="240">
      <pivotArea type="topRight" dataOnly="0" labelOnly="1" outline="0" fieldPosition="0"/>
    </format>
    <format dxfId="241">
      <pivotArea field="10" type="button" dataOnly="0" labelOnly="1" outline="0" axis="axisRow" fieldPosition="0"/>
    </format>
    <format dxfId="242">
      <pivotArea dataOnly="0" labelOnly="1" fieldPosition="0">
        <references count="1">
          <reference field="10" count="0"/>
        </references>
      </pivotArea>
    </format>
    <format dxfId="243">
      <pivotArea dataOnly="0" labelOnly="1" grandRow="1" outline="0" fieldPosition="0"/>
    </format>
    <format dxfId="244">
      <pivotArea dataOnly="0" labelOnly="1" fieldPosition="0">
        <references count="1">
          <reference field="2" count="0"/>
        </references>
      </pivotArea>
    </format>
    <format dxfId="24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57797-AE3D-4D68-860A-94F78518FD4F}" name="PivotTable1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tient status">
  <location ref="B65:K69" firstHeaderRow="0" firstDataRow="1" firstDataCol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Average of Bilirubin" fld="11" subtotal="average" baseField="2" baseItem="0"/>
    <dataField name="Average of Cholesterol" fld="12" subtotal="average" baseField="2" baseItem="0"/>
    <dataField name="Average of Albumin" fld="13" subtotal="average" baseField="2" baseItem="0"/>
    <dataField name="Average of Copper" fld="14" subtotal="average" baseField="2" baseItem="0"/>
    <dataField name="Average of Alk_Phos" fld="15" subtotal="average" baseField="2" baseItem="0"/>
    <dataField name="Average of SGOT" fld="16" subtotal="average" baseField="2" baseItem="0"/>
    <dataField name="Average of Tryglicerides" fld="17" subtotal="average" baseField="2" baseItem="0"/>
    <dataField name="Average of Platelets" fld="18" subtotal="average" baseField="2" baseItem="0"/>
    <dataField name="Average of Prothrombin" fld="19" subtotal="average" baseField="2" baseItem="0"/>
  </dataFields>
  <formats count="32">
    <format dxfId="246">
      <pivotArea collapsedLevelsAreSubtotals="1" fieldPosition="0">
        <references count="1">
          <reference field="2" count="0"/>
        </references>
      </pivotArea>
    </format>
    <format dxfId="247">
      <pivotArea grandRow="1" outline="0" collapsedLevelsAreSubtotals="1" fieldPosition="0"/>
    </format>
    <format dxfId="248">
      <pivotArea type="all" dataOnly="0" outline="0" fieldPosition="0"/>
    </format>
    <format dxfId="249">
      <pivotArea outline="0" collapsedLevelsAreSubtotals="1" fieldPosition="0"/>
    </format>
    <format dxfId="250">
      <pivotArea field="2" type="button" dataOnly="0" labelOnly="1" outline="0" axis="axisRow" fieldPosition="0"/>
    </format>
    <format dxfId="251">
      <pivotArea dataOnly="0" labelOnly="1" fieldPosition="0">
        <references count="1">
          <reference field="2" count="0"/>
        </references>
      </pivotArea>
    </format>
    <format dxfId="252">
      <pivotArea dataOnly="0" labelOnly="1" grandRow="1" outline="0" fieldPosition="0"/>
    </format>
    <format dxfId="25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4">
      <pivotArea type="all" dataOnly="0" outline="0" fieldPosition="0"/>
    </format>
    <format dxfId="255">
      <pivotArea outline="0" collapsedLevelsAreSubtotals="1" fieldPosition="0"/>
    </format>
    <format dxfId="256">
      <pivotArea field="2" type="button" dataOnly="0" labelOnly="1" outline="0" axis="axisRow" fieldPosition="0"/>
    </format>
    <format dxfId="257">
      <pivotArea dataOnly="0" labelOnly="1" fieldPosition="0">
        <references count="1">
          <reference field="2" count="0"/>
        </references>
      </pivotArea>
    </format>
    <format dxfId="258">
      <pivotArea dataOnly="0" labelOnly="1" grandRow="1" outline="0" fieldPosition="0"/>
    </format>
    <format dxfId="25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60">
      <pivotArea type="all" dataOnly="0" outline="0" fieldPosition="0"/>
    </format>
    <format dxfId="261">
      <pivotArea outline="0" collapsedLevelsAreSubtotals="1" fieldPosition="0"/>
    </format>
    <format dxfId="262">
      <pivotArea field="2" type="button" dataOnly="0" labelOnly="1" outline="0" axis="axisRow" fieldPosition="0"/>
    </format>
    <format dxfId="263">
      <pivotArea dataOnly="0" labelOnly="1" fieldPosition="0">
        <references count="1">
          <reference field="2" count="0"/>
        </references>
      </pivotArea>
    </format>
    <format dxfId="264">
      <pivotArea dataOnly="0" labelOnly="1" grandRow="1" outline="0" fieldPosition="0"/>
    </format>
    <format dxfId="26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66">
      <pivotArea type="all" dataOnly="0" outline="0" fieldPosition="0"/>
    </format>
    <format dxfId="267">
      <pivotArea outline="0" collapsedLevelsAreSubtotals="1" fieldPosition="0"/>
    </format>
    <format dxfId="268">
      <pivotArea field="2" type="button" dataOnly="0" labelOnly="1" outline="0" axis="axisRow" fieldPosition="0"/>
    </format>
    <format dxfId="269">
      <pivotArea dataOnly="0" labelOnly="1" fieldPosition="0">
        <references count="1">
          <reference field="2" count="0"/>
        </references>
      </pivotArea>
    </format>
    <format dxfId="270">
      <pivotArea dataOnly="0" labelOnly="1" grandRow="1" outline="0" fieldPosition="0"/>
    </format>
    <format dxfId="27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72">
      <pivotArea type="all" dataOnly="0" outline="0" fieldPosition="0"/>
    </format>
    <format dxfId="273">
      <pivotArea outline="0" collapsedLevelsAreSubtotals="1" fieldPosition="0"/>
    </format>
    <format dxfId="274">
      <pivotArea field="2" type="button" dataOnly="0" labelOnly="1" outline="0" axis="axisRow" fieldPosition="0"/>
    </format>
    <format dxfId="275">
      <pivotArea dataOnly="0" labelOnly="1" fieldPosition="0">
        <references count="1">
          <reference field="2" count="0"/>
        </references>
      </pivotArea>
    </format>
    <format dxfId="276">
      <pivotArea dataOnly="0" labelOnly="1" grandRow="1" outline="0" fieldPosition="0"/>
    </format>
    <format dxfId="27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4DBEE-32EF-45EA-AA1A-A85B54C11C1A}" name="PivotTable1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ge" colHeaderCaption="Patient status">
  <location ref="B74:F80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20" baseItem="0"/>
  </dataFields>
  <formats count="50">
    <format dxfId="278">
      <pivotArea type="all" dataOnly="0" outline="0" fieldPosition="0"/>
    </format>
    <format dxfId="279">
      <pivotArea outline="0" collapsedLevelsAreSubtotals="1" fieldPosition="0"/>
    </format>
    <format dxfId="280">
      <pivotArea type="origin" dataOnly="0" labelOnly="1" outline="0" fieldPosition="0"/>
    </format>
    <format dxfId="281">
      <pivotArea field="2" type="button" dataOnly="0" labelOnly="1" outline="0" axis="axisCol" fieldPosition="0"/>
    </format>
    <format dxfId="282">
      <pivotArea type="topRight" dataOnly="0" labelOnly="1" outline="0" fieldPosition="0"/>
    </format>
    <format dxfId="283">
      <pivotArea field="20" type="button" dataOnly="0" labelOnly="1" outline="0" axis="axisRow" fieldPosition="0"/>
    </format>
    <format dxfId="284">
      <pivotArea dataOnly="0" labelOnly="1" fieldPosition="0">
        <references count="1">
          <reference field="20" count="0"/>
        </references>
      </pivotArea>
    </format>
    <format dxfId="285">
      <pivotArea dataOnly="0" labelOnly="1" grandRow="1" outline="0" fieldPosition="0"/>
    </format>
    <format dxfId="286">
      <pivotArea dataOnly="0" labelOnly="1" fieldPosition="0">
        <references count="1">
          <reference field="2" count="0"/>
        </references>
      </pivotArea>
    </format>
    <format dxfId="287">
      <pivotArea dataOnly="0" labelOnly="1" grandCol="1" outline="0" fieldPosition="0"/>
    </format>
    <format dxfId="288">
      <pivotArea type="all" dataOnly="0" outline="0" fieldPosition="0"/>
    </format>
    <format dxfId="289">
      <pivotArea outline="0" collapsedLevelsAreSubtotals="1" fieldPosition="0"/>
    </format>
    <format dxfId="290">
      <pivotArea type="origin" dataOnly="0" labelOnly="1" outline="0" fieldPosition="0"/>
    </format>
    <format dxfId="291">
      <pivotArea field="2" type="button" dataOnly="0" labelOnly="1" outline="0" axis="axisCol" fieldPosition="0"/>
    </format>
    <format dxfId="292">
      <pivotArea type="topRight" dataOnly="0" labelOnly="1" outline="0" fieldPosition="0"/>
    </format>
    <format dxfId="293">
      <pivotArea field="20" type="button" dataOnly="0" labelOnly="1" outline="0" axis="axisRow" fieldPosition="0"/>
    </format>
    <format dxfId="294">
      <pivotArea dataOnly="0" labelOnly="1" fieldPosition="0">
        <references count="1">
          <reference field="20" count="0"/>
        </references>
      </pivotArea>
    </format>
    <format dxfId="295">
      <pivotArea dataOnly="0" labelOnly="1" grandRow="1" outline="0" fieldPosition="0"/>
    </format>
    <format dxfId="296">
      <pivotArea dataOnly="0" labelOnly="1" fieldPosition="0">
        <references count="1">
          <reference field="2" count="0"/>
        </references>
      </pivotArea>
    </format>
    <format dxfId="297">
      <pivotArea dataOnly="0" labelOnly="1" grandCol="1" outline="0" fieldPosition="0"/>
    </format>
    <format dxfId="298">
      <pivotArea type="all" dataOnly="0" outline="0" fieldPosition="0"/>
    </format>
    <format dxfId="299">
      <pivotArea outline="0" collapsedLevelsAreSubtotals="1" fieldPosition="0"/>
    </format>
    <format dxfId="300">
      <pivotArea type="origin" dataOnly="0" labelOnly="1" outline="0" fieldPosition="0"/>
    </format>
    <format dxfId="301">
      <pivotArea field="2" type="button" dataOnly="0" labelOnly="1" outline="0" axis="axisCol" fieldPosition="0"/>
    </format>
    <format dxfId="302">
      <pivotArea type="topRight" dataOnly="0" labelOnly="1" outline="0" fieldPosition="0"/>
    </format>
    <format dxfId="303">
      <pivotArea field="20" type="button" dataOnly="0" labelOnly="1" outline="0" axis="axisRow" fieldPosition="0"/>
    </format>
    <format dxfId="304">
      <pivotArea dataOnly="0" labelOnly="1" fieldPosition="0">
        <references count="1">
          <reference field="20" count="0"/>
        </references>
      </pivotArea>
    </format>
    <format dxfId="305">
      <pivotArea dataOnly="0" labelOnly="1" grandRow="1" outline="0" fieldPosition="0"/>
    </format>
    <format dxfId="306">
      <pivotArea dataOnly="0" labelOnly="1" fieldPosition="0">
        <references count="1">
          <reference field="2" count="0"/>
        </references>
      </pivotArea>
    </format>
    <format dxfId="307">
      <pivotArea dataOnly="0" labelOnly="1" grandCol="1" outline="0" fieldPosition="0"/>
    </format>
    <format dxfId="308">
      <pivotArea type="all" dataOnly="0" outline="0" fieldPosition="0"/>
    </format>
    <format dxfId="309">
      <pivotArea outline="0" collapsedLevelsAreSubtotals="1" fieldPosition="0"/>
    </format>
    <format dxfId="310">
      <pivotArea type="origin" dataOnly="0" labelOnly="1" outline="0" fieldPosition="0"/>
    </format>
    <format dxfId="311">
      <pivotArea field="2" type="button" dataOnly="0" labelOnly="1" outline="0" axis="axisCol" fieldPosition="0"/>
    </format>
    <format dxfId="312">
      <pivotArea type="topRight" dataOnly="0" labelOnly="1" outline="0" fieldPosition="0"/>
    </format>
    <format dxfId="313">
      <pivotArea field="20" type="button" dataOnly="0" labelOnly="1" outline="0" axis="axisRow" fieldPosition="0"/>
    </format>
    <format dxfId="314">
      <pivotArea dataOnly="0" labelOnly="1" fieldPosition="0">
        <references count="1">
          <reference field="20" count="0"/>
        </references>
      </pivotArea>
    </format>
    <format dxfId="315">
      <pivotArea dataOnly="0" labelOnly="1" grandRow="1" outline="0" fieldPosition="0"/>
    </format>
    <format dxfId="316">
      <pivotArea dataOnly="0" labelOnly="1" fieldPosition="0">
        <references count="1">
          <reference field="2" count="0"/>
        </references>
      </pivotArea>
    </format>
    <format dxfId="317">
      <pivotArea dataOnly="0" labelOnly="1" grandCol="1" outline="0" fieldPosition="0"/>
    </format>
    <format dxfId="318">
      <pivotArea type="all" dataOnly="0" outline="0" fieldPosition="0"/>
    </format>
    <format dxfId="319">
      <pivotArea outline="0" collapsedLevelsAreSubtotals="1" fieldPosition="0"/>
    </format>
    <format dxfId="320">
      <pivotArea type="origin" dataOnly="0" labelOnly="1" outline="0" fieldPosition="0"/>
    </format>
    <format dxfId="321">
      <pivotArea field="2" type="button" dataOnly="0" labelOnly="1" outline="0" axis="axisCol" fieldPosition="0"/>
    </format>
    <format dxfId="322">
      <pivotArea type="topRight" dataOnly="0" labelOnly="1" outline="0" fieldPosition="0"/>
    </format>
    <format dxfId="323">
      <pivotArea field="20" type="button" dataOnly="0" labelOnly="1" outline="0" axis="axisRow" fieldPosition="0"/>
    </format>
    <format dxfId="324">
      <pivotArea dataOnly="0" labelOnly="1" fieldPosition="0">
        <references count="1">
          <reference field="20" count="0"/>
        </references>
      </pivotArea>
    </format>
    <format dxfId="325">
      <pivotArea dataOnly="0" labelOnly="1" grandRow="1" outline="0" fieldPosition="0"/>
    </format>
    <format dxfId="326">
      <pivotArea dataOnly="0" labelOnly="1" fieldPosition="0">
        <references count="1">
          <reference field="2" count="0"/>
        </references>
      </pivotArea>
    </format>
    <format dxfId="3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FD0B5-6BC7-47EB-86BC-E18E2EF9876E}" name="PivotTable1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eatment" colHeaderCaption="Patient status">
  <location ref="B85:F90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28">
      <pivotArea type="all" dataOnly="0" outline="0" fieldPosition="0"/>
    </format>
    <format dxfId="329">
      <pivotArea outline="0" collapsedLevelsAreSubtotals="1" fieldPosition="0"/>
    </format>
    <format dxfId="330">
      <pivotArea type="origin" dataOnly="0" labelOnly="1" outline="0" fieldPosition="0"/>
    </format>
    <format dxfId="331">
      <pivotArea field="2" type="button" dataOnly="0" labelOnly="1" outline="0" axis="axisCol" fieldPosition="0"/>
    </format>
    <format dxfId="332">
      <pivotArea type="topRight" dataOnly="0" labelOnly="1" outline="0" fieldPosition="0"/>
    </format>
    <format dxfId="333">
      <pivotArea field="3" type="button" dataOnly="0" labelOnly="1" outline="0" axis="axisRow" fieldPosition="0"/>
    </format>
    <format dxfId="334">
      <pivotArea dataOnly="0" labelOnly="1" fieldPosition="0">
        <references count="1">
          <reference field="3" count="0"/>
        </references>
      </pivotArea>
    </format>
    <format dxfId="335">
      <pivotArea dataOnly="0" labelOnly="1" grandRow="1" outline="0" fieldPosition="0"/>
    </format>
    <format dxfId="336">
      <pivotArea dataOnly="0" labelOnly="1" fieldPosition="0">
        <references count="1">
          <reference field="2" count="0"/>
        </references>
      </pivotArea>
    </format>
    <format dxfId="337">
      <pivotArea dataOnly="0" labelOnly="1" grandCol="1" outline="0" fieldPosition="0"/>
    </format>
    <format dxfId="338">
      <pivotArea type="all" dataOnly="0" outline="0" fieldPosition="0"/>
    </format>
    <format dxfId="339">
      <pivotArea outline="0" collapsedLevelsAreSubtotals="1" fieldPosition="0"/>
    </format>
    <format dxfId="340">
      <pivotArea type="origin" dataOnly="0" labelOnly="1" outline="0" fieldPosition="0"/>
    </format>
    <format dxfId="341">
      <pivotArea field="2" type="button" dataOnly="0" labelOnly="1" outline="0" axis="axisCol" fieldPosition="0"/>
    </format>
    <format dxfId="342">
      <pivotArea type="topRight" dataOnly="0" labelOnly="1" outline="0" fieldPosition="0"/>
    </format>
    <format dxfId="343">
      <pivotArea field="3" type="button" dataOnly="0" labelOnly="1" outline="0" axis="axisRow" fieldPosition="0"/>
    </format>
    <format dxfId="344">
      <pivotArea dataOnly="0" labelOnly="1" fieldPosition="0">
        <references count="1">
          <reference field="3" count="0"/>
        </references>
      </pivotArea>
    </format>
    <format dxfId="345">
      <pivotArea dataOnly="0" labelOnly="1" grandRow="1" outline="0" fieldPosition="0"/>
    </format>
    <format dxfId="346">
      <pivotArea dataOnly="0" labelOnly="1" fieldPosition="0">
        <references count="1">
          <reference field="2" count="0"/>
        </references>
      </pivotArea>
    </format>
    <format dxfId="347">
      <pivotArea dataOnly="0" labelOnly="1" grandCol="1" outline="0" fieldPosition="0"/>
    </format>
    <format dxfId="348">
      <pivotArea type="all" dataOnly="0" outline="0" fieldPosition="0"/>
    </format>
    <format dxfId="349">
      <pivotArea type="all" dataOnly="0" outline="0" fieldPosition="0"/>
    </format>
    <format dxfId="350">
      <pivotArea outline="0" collapsedLevelsAreSubtotals="1" fieldPosition="0"/>
    </format>
    <format dxfId="351">
      <pivotArea type="origin" dataOnly="0" labelOnly="1" outline="0" fieldPosition="0"/>
    </format>
    <format dxfId="352">
      <pivotArea field="2" type="button" dataOnly="0" labelOnly="1" outline="0" axis="axisCol" fieldPosition="0"/>
    </format>
    <format dxfId="353">
      <pivotArea type="topRight" dataOnly="0" labelOnly="1" outline="0" fieldPosition="0"/>
    </format>
    <format dxfId="354">
      <pivotArea field="3" type="button" dataOnly="0" labelOnly="1" outline="0" axis="axisRow" fieldPosition="0"/>
    </format>
    <format dxfId="355">
      <pivotArea dataOnly="0" labelOnly="1" fieldPosition="0">
        <references count="1">
          <reference field="3" count="0"/>
        </references>
      </pivotArea>
    </format>
    <format dxfId="356">
      <pivotArea dataOnly="0" labelOnly="1" grandRow="1" outline="0" fieldPosition="0"/>
    </format>
    <format dxfId="357">
      <pivotArea dataOnly="0" labelOnly="1" fieldPosition="0">
        <references count="1">
          <reference field="2" count="0"/>
        </references>
      </pivotArea>
    </format>
    <format dxfId="358">
      <pivotArea dataOnly="0" labelOnly="1" grandCol="1" outline="0" fieldPosition="0"/>
    </format>
    <format dxfId="359">
      <pivotArea type="all" dataOnly="0" outline="0" fieldPosition="0"/>
    </format>
    <format dxfId="360">
      <pivotArea outline="0" collapsedLevelsAreSubtotals="1" fieldPosition="0"/>
    </format>
    <format dxfId="361">
      <pivotArea type="origin" dataOnly="0" labelOnly="1" outline="0" fieldPosition="0"/>
    </format>
    <format dxfId="362">
      <pivotArea field="2" type="button" dataOnly="0" labelOnly="1" outline="0" axis="axisCol" fieldPosition="0"/>
    </format>
    <format dxfId="363">
      <pivotArea type="topRight" dataOnly="0" labelOnly="1" outline="0" fieldPosition="0"/>
    </format>
    <format dxfId="364">
      <pivotArea field="3" type="button" dataOnly="0" labelOnly="1" outline="0" axis="axisRow" fieldPosition="0"/>
    </format>
    <format dxfId="365">
      <pivotArea dataOnly="0" labelOnly="1" fieldPosition="0">
        <references count="1">
          <reference field="3" count="0"/>
        </references>
      </pivotArea>
    </format>
    <format dxfId="366">
      <pivotArea dataOnly="0" labelOnly="1" grandRow="1" outline="0" fieldPosition="0"/>
    </format>
    <format dxfId="367">
      <pivotArea dataOnly="0" labelOnly="1" fieldPosition="0">
        <references count="1">
          <reference field="2" count="0"/>
        </references>
      </pivotArea>
    </format>
    <format dxfId="36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9CDB-E603-42B6-885D-FB32C3161849}">
  <dimension ref="A1:U419"/>
  <sheetViews>
    <sheetView workbookViewId="0">
      <selection activeCell="D1" sqref="A1:U419"/>
    </sheetView>
  </sheetViews>
  <sheetFormatPr defaultRowHeight="14.5" x14ac:dyDescent="0.35"/>
  <cols>
    <col min="3" max="3" width="27" customWidth="1"/>
    <col min="4" max="4" width="13.36328125" customWidth="1"/>
    <col min="6" max="6" width="15.7265625" customWidth="1"/>
    <col min="11" max="11" width="24.1796875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1">
        <v>1</v>
      </c>
      <c r="B2" s="1">
        <v>400</v>
      </c>
      <c r="C2" s="1" t="s">
        <v>49</v>
      </c>
      <c r="D2" s="1" t="s">
        <v>21</v>
      </c>
      <c r="E2" s="2">
        <v>58.765229295003422</v>
      </c>
      <c r="F2" s="2" t="str" cm="1">
        <f t="array" ref="F2">_xlfn.IFS(E2&lt;25,"Under 25",E2&lt;40,"Young Adulthood",E2&lt;60,"Middle Adulthood",E2&gt;=60,"Older Adulthood")</f>
        <v>Middle Adulthood</v>
      </c>
      <c r="G2" s="1" t="s">
        <v>23</v>
      </c>
      <c r="H2" s="1" t="s">
        <v>50</v>
      </c>
      <c r="I2" s="1" t="s">
        <v>50</v>
      </c>
      <c r="J2" s="1" t="s">
        <v>50</v>
      </c>
      <c r="K2" s="1" t="s">
        <v>51</v>
      </c>
      <c r="L2" s="1">
        <v>14.5</v>
      </c>
      <c r="M2" s="1">
        <v>261</v>
      </c>
      <c r="N2" s="1">
        <v>2.6</v>
      </c>
      <c r="O2" s="1">
        <v>156</v>
      </c>
      <c r="P2" s="1">
        <v>1718</v>
      </c>
      <c r="Q2" s="1">
        <v>137.94999999999999</v>
      </c>
      <c r="R2" s="1">
        <v>172</v>
      </c>
      <c r="S2" s="1">
        <v>190</v>
      </c>
      <c r="T2" s="1">
        <v>12.2</v>
      </c>
      <c r="U2" s="1">
        <v>4</v>
      </c>
    </row>
    <row r="3" spans="1:21" x14ac:dyDescent="0.35">
      <c r="A3" s="1">
        <v>2</v>
      </c>
      <c r="B3" s="1">
        <v>4500</v>
      </c>
      <c r="C3" s="1" t="s">
        <v>52</v>
      </c>
      <c r="D3" s="1" t="s">
        <v>21</v>
      </c>
      <c r="E3" s="2">
        <v>56.446269678302535</v>
      </c>
      <c r="F3" s="2" t="str" cm="1">
        <f t="array" ref="F3">_xlfn.IFS(E3&lt;25,"Under 25",E3&lt;40,"Young Adulthood",E3&lt;60,"Middle Adulthood",E3&gt;=60,"Older Adulthood")</f>
        <v>Middle Adulthood</v>
      </c>
      <c r="G3" s="1" t="s">
        <v>23</v>
      </c>
      <c r="H3" s="1" t="s">
        <v>53</v>
      </c>
      <c r="I3" s="1" t="s">
        <v>50</v>
      </c>
      <c r="J3" s="1" t="s">
        <v>50</v>
      </c>
      <c r="K3" s="1" t="s">
        <v>54</v>
      </c>
      <c r="L3" s="1">
        <v>1.1000000000000001</v>
      </c>
      <c r="M3" s="1">
        <v>302</v>
      </c>
      <c r="N3" s="1">
        <v>4.1399999999999997</v>
      </c>
      <c r="O3" s="1">
        <v>54</v>
      </c>
      <c r="P3" s="1">
        <v>7394.8</v>
      </c>
      <c r="Q3" s="1">
        <v>113.52</v>
      </c>
      <c r="R3" s="1">
        <v>88</v>
      </c>
      <c r="S3" s="1">
        <v>221</v>
      </c>
      <c r="T3" s="1">
        <v>10.6</v>
      </c>
      <c r="U3" s="1">
        <v>3</v>
      </c>
    </row>
    <row r="4" spans="1:21" x14ac:dyDescent="0.35">
      <c r="A4" s="1">
        <v>3</v>
      </c>
      <c r="B4" s="1">
        <v>1012</v>
      </c>
      <c r="C4" s="1" t="s">
        <v>49</v>
      </c>
      <c r="D4" s="1" t="s">
        <v>21</v>
      </c>
      <c r="E4" s="2">
        <v>70.072553045858996</v>
      </c>
      <c r="F4" s="2" t="str" cm="1">
        <f t="array" ref="F4">_xlfn.IFS(E4&lt;25,"Under 25",E4&lt;40,"Young Adulthood",E4&lt;60,"Middle Adulthood",E4&gt;=60,"Older Adulthood")</f>
        <v>Older Adulthood</v>
      </c>
      <c r="G4" s="1" t="s">
        <v>25</v>
      </c>
      <c r="H4" s="1" t="s">
        <v>53</v>
      </c>
      <c r="I4" s="1" t="s">
        <v>53</v>
      </c>
      <c r="J4" s="1" t="s">
        <v>53</v>
      </c>
      <c r="K4" s="1" t="s">
        <v>55</v>
      </c>
      <c r="L4" s="1">
        <v>1.4</v>
      </c>
      <c r="M4" s="1">
        <v>176</v>
      </c>
      <c r="N4" s="1">
        <v>3.48</v>
      </c>
      <c r="O4" s="1">
        <v>210</v>
      </c>
      <c r="P4" s="1">
        <v>516</v>
      </c>
      <c r="Q4" s="1">
        <v>96.1</v>
      </c>
      <c r="R4" s="1">
        <v>55</v>
      </c>
      <c r="S4" s="1">
        <v>151</v>
      </c>
      <c r="T4" s="1">
        <v>12</v>
      </c>
      <c r="U4" s="1">
        <v>4</v>
      </c>
    </row>
    <row r="5" spans="1:21" x14ac:dyDescent="0.35">
      <c r="A5" s="1">
        <v>4</v>
      </c>
      <c r="B5" s="1">
        <v>1925</v>
      </c>
      <c r="C5" s="1" t="s">
        <v>49</v>
      </c>
      <c r="D5" s="1" t="s">
        <v>21</v>
      </c>
      <c r="E5" s="2">
        <v>54.740588637919231</v>
      </c>
      <c r="F5" s="2" t="str" cm="1">
        <f t="array" ref="F5">_xlfn.IFS(E5&lt;25,"Under 25",E5&lt;40,"Young Adulthood",E5&lt;60,"Middle Adulthood",E5&gt;=60,"Older Adulthood")</f>
        <v>Middle Adulthood</v>
      </c>
      <c r="G5" s="1" t="s">
        <v>23</v>
      </c>
      <c r="H5" s="1" t="s">
        <v>53</v>
      </c>
      <c r="I5" s="1" t="s">
        <v>50</v>
      </c>
      <c r="J5" s="1" t="s">
        <v>50</v>
      </c>
      <c r="K5" s="1" t="s">
        <v>55</v>
      </c>
      <c r="L5" s="1">
        <v>1.8</v>
      </c>
      <c r="M5" s="1">
        <v>244</v>
      </c>
      <c r="N5" s="1">
        <v>2.54</v>
      </c>
      <c r="O5" s="1">
        <v>64</v>
      </c>
      <c r="P5" s="1">
        <v>6121.8</v>
      </c>
      <c r="Q5" s="1">
        <v>60.63</v>
      </c>
      <c r="R5" s="1">
        <v>92</v>
      </c>
      <c r="S5" s="1">
        <v>183</v>
      </c>
      <c r="T5" s="1">
        <v>10.3</v>
      </c>
      <c r="U5" s="1">
        <v>4</v>
      </c>
    </row>
    <row r="6" spans="1:21" x14ac:dyDescent="0.35">
      <c r="A6" s="1">
        <v>5</v>
      </c>
      <c r="B6" s="1">
        <v>1504</v>
      </c>
      <c r="C6" s="1" t="s">
        <v>56</v>
      </c>
      <c r="D6" s="1" t="s">
        <v>26</v>
      </c>
      <c r="E6" s="2">
        <v>38.105407255304584</v>
      </c>
      <c r="F6" s="2" t="str" cm="1">
        <f t="array" ref="F6">_xlfn.IFS(E6&lt;25,"Under 25",E6&lt;40,"Young Adulthood",E6&lt;60,"Middle Adulthood",E6&gt;=60,"Older Adulthood")</f>
        <v>Young Adulthood</v>
      </c>
      <c r="G6" s="1" t="s">
        <v>23</v>
      </c>
      <c r="H6" s="1" t="s">
        <v>53</v>
      </c>
      <c r="I6" s="1" t="s">
        <v>50</v>
      </c>
      <c r="J6" s="1" t="s">
        <v>50</v>
      </c>
      <c r="K6" s="1" t="s">
        <v>54</v>
      </c>
      <c r="L6" s="1">
        <v>3.4</v>
      </c>
      <c r="M6" s="1">
        <v>279</v>
      </c>
      <c r="N6" s="1">
        <v>3.53</v>
      </c>
      <c r="O6" s="1">
        <v>143</v>
      </c>
      <c r="P6" s="1">
        <v>671</v>
      </c>
      <c r="Q6" s="1">
        <v>113.15</v>
      </c>
      <c r="R6" s="1">
        <v>72</v>
      </c>
      <c r="S6" s="1">
        <v>136</v>
      </c>
      <c r="T6" s="1">
        <v>10.9</v>
      </c>
      <c r="U6" s="1">
        <v>3</v>
      </c>
    </row>
    <row r="7" spans="1:21" x14ac:dyDescent="0.35">
      <c r="A7" s="1">
        <v>6</v>
      </c>
      <c r="B7" s="1">
        <v>2503</v>
      </c>
      <c r="C7" s="1" t="s">
        <v>49</v>
      </c>
      <c r="D7" s="1" t="s">
        <v>26</v>
      </c>
      <c r="E7" s="2">
        <v>66.258726899383987</v>
      </c>
      <c r="F7" s="2" t="str" cm="1">
        <f t="array" ref="F7">_xlfn.IFS(E7&lt;25,"Under 25",E7&lt;40,"Young Adulthood",E7&lt;60,"Middle Adulthood",E7&gt;=60,"Older Adulthood")</f>
        <v>Older Adulthood</v>
      </c>
      <c r="G7" s="1" t="s">
        <v>23</v>
      </c>
      <c r="H7" s="1" t="s">
        <v>53</v>
      </c>
      <c r="I7" s="1" t="s">
        <v>50</v>
      </c>
      <c r="J7" s="1" t="s">
        <v>53</v>
      </c>
      <c r="K7" s="1" t="s">
        <v>54</v>
      </c>
      <c r="L7" s="1">
        <v>0.8</v>
      </c>
      <c r="M7" s="1">
        <v>248</v>
      </c>
      <c r="N7" s="1">
        <v>3.98</v>
      </c>
      <c r="O7" s="1">
        <v>50</v>
      </c>
      <c r="P7" s="1">
        <v>944</v>
      </c>
      <c r="Q7" s="1">
        <v>93</v>
      </c>
      <c r="R7" s="1">
        <v>63</v>
      </c>
      <c r="S7" s="1">
        <v>251</v>
      </c>
      <c r="T7" s="1">
        <v>11</v>
      </c>
      <c r="U7" s="1">
        <v>3</v>
      </c>
    </row>
    <row r="8" spans="1:21" x14ac:dyDescent="0.35">
      <c r="A8" s="1">
        <v>7</v>
      </c>
      <c r="B8" s="1">
        <v>1832</v>
      </c>
      <c r="C8" s="1" t="s">
        <v>52</v>
      </c>
      <c r="D8" s="1" t="s">
        <v>26</v>
      </c>
      <c r="E8" s="2">
        <v>55.534565366187543</v>
      </c>
      <c r="F8" s="2" t="str" cm="1">
        <f t="array" ref="F8">_xlfn.IFS(E8&lt;25,"Under 25",E8&lt;40,"Young Adulthood",E8&lt;60,"Middle Adulthood",E8&gt;=60,"Older Adulthood")</f>
        <v>Middle Adulthood</v>
      </c>
      <c r="G8" s="1" t="s">
        <v>23</v>
      </c>
      <c r="H8" s="1" t="s">
        <v>53</v>
      </c>
      <c r="I8" s="1" t="s">
        <v>50</v>
      </c>
      <c r="J8" s="1" t="s">
        <v>53</v>
      </c>
      <c r="K8" s="1" t="s">
        <v>54</v>
      </c>
      <c r="L8" s="1">
        <v>1</v>
      </c>
      <c r="M8" s="1">
        <v>322</v>
      </c>
      <c r="N8" s="1">
        <v>4.09</v>
      </c>
      <c r="O8" s="1">
        <v>52</v>
      </c>
      <c r="P8" s="1">
        <v>824</v>
      </c>
      <c r="Q8" s="1">
        <v>60.45</v>
      </c>
      <c r="R8" s="1">
        <v>213</v>
      </c>
      <c r="S8" s="1">
        <v>204</v>
      </c>
      <c r="T8" s="1">
        <v>9.6999999999999993</v>
      </c>
      <c r="U8" s="1">
        <v>3</v>
      </c>
    </row>
    <row r="9" spans="1:21" x14ac:dyDescent="0.35">
      <c r="A9" s="1">
        <v>8</v>
      </c>
      <c r="B9" s="1">
        <v>2466</v>
      </c>
      <c r="C9" s="1" t="s">
        <v>49</v>
      </c>
      <c r="D9" s="1" t="s">
        <v>26</v>
      </c>
      <c r="E9" s="2">
        <v>53.056810403832991</v>
      </c>
      <c r="F9" s="2" t="str" cm="1">
        <f t="array" ref="F9">_xlfn.IFS(E9&lt;25,"Under 25",E9&lt;40,"Young Adulthood",E9&lt;60,"Middle Adulthood",E9&gt;=60,"Older Adulthood")</f>
        <v>Middle Adulthood</v>
      </c>
      <c r="G9" s="1" t="s">
        <v>23</v>
      </c>
      <c r="H9" s="1" t="s">
        <v>53</v>
      </c>
      <c r="I9" s="1" t="s">
        <v>53</v>
      </c>
      <c r="J9" s="1" t="s">
        <v>53</v>
      </c>
      <c r="K9" s="1" t="s">
        <v>54</v>
      </c>
      <c r="L9" s="1">
        <v>0.3</v>
      </c>
      <c r="M9" s="1">
        <v>280</v>
      </c>
      <c r="N9" s="1">
        <v>4</v>
      </c>
      <c r="O9" s="1">
        <v>52</v>
      </c>
      <c r="P9" s="1">
        <v>4651.2</v>
      </c>
      <c r="Q9" s="1">
        <v>28.38</v>
      </c>
      <c r="R9" s="1">
        <v>189</v>
      </c>
      <c r="S9" s="1">
        <v>373</v>
      </c>
      <c r="T9" s="1">
        <v>11</v>
      </c>
      <c r="U9" s="1">
        <v>3</v>
      </c>
    </row>
    <row r="10" spans="1:21" x14ac:dyDescent="0.35">
      <c r="A10" s="1">
        <v>9</v>
      </c>
      <c r="B10" s="1">
        <v>2400</v>
      </c>
      <c r="C10" s="1" t="s">
        <v>49</v>
      </c>
      <c r="D10" s="1" t="s">
        <v>21</v>
      </c>
      <c r="E10" s="2">
        <v>42.507871321013006</v>
      </c>
      <c r="F10" s="2" t="str" cm="1">
        <f t="array" ref="F10">_xlfn.IFS(E10&lt;25,"Under 25",E10&lt;40,"Young Adulthood",E10&lt;60,"Middle Adulthood",E10&gt;=60,"Older Adulthood")</f>
        <v>Middle Adulthood</v>
      </c>
      <c r="G10" s="1" t="s">
        <v>23</v>
      </c>
      <c r="H10" s="1" t="s">
        <v>53</v>
      </c>
      <c r="I10" s="1" t="s">
        <v>53</v>
      </c>
      <c r="J10" s="1" t="s">
        <v>50</v>
      </c>
      <c r="K10" s="1" t="s">
        <v>54</v>
      </c>
      <c r="L10" s="1">
        <v>3.2</v>
      </c>
      <c r="M10" s="1">
        <v>562</v>
      </c>
      <c r="N10" s="1">
        <v>3.08</v>
      </c>
      <c r="O10" s="1">
        <v>79</v>
      </c>
      <c r="P10" s="1">
        <v>2276</v>
      </c>
      <c r="Q10" s="1">
        <v>144.15</v>
      </c>
      <c r="R10" s="1">
        <v>88</v>
      </c>
      <c r="S10" s="1">
        <v>251</v>
      </c>
      <c r="T10" s="1">
        <v>11</v>
      </c>
      <c r="U10" s="1">
        <v>2</v>
      </c>
    </row>
    <row r="11" spans="1:21" x14ac:dyDescent="0.35">
      <c r="A11" s="1">
        <v>10</v>
      </c>
      <c r="B11" s="1">
        <v>51</v>
      </c>
      <c r="C11" s="1" t="s">
        <v>49</v>
      </c>
      <c r="D11" s="1" t="s">
        <v>26</v>
      </c>
      <c r="E11" s="2">
        <v>70.559890485968509</v>
      </c>
      <c r="F11" s="2" t="str" cm="1">
        <f t="array" ref="F11">_xlfn.IFS(E11&lt;25,"Under 25",E11&lt;40,"Young Adulthood",E11&lt;60,"Middle Adulthood",E11&gt;=60,"Older Adulthood")</f>
        <v>Older Adulthood</v>
      </c>
      <c r="G11" s="1" t="s">
        <v>23</v>
      </c>
      <c r="H11" s="1" t="s">
        <v>50</v>
      </c>
      <c r="I11" s="1" t="s">
        <v>53</v>
      </c>
      <c r="J11" s="1" t="s">
        <v>50</v>
      </c>
      <c r="K11" s="1" t="s">
        <v>51</v>
      </c>
      <c r="L11" s="1">
        <v>12.6</v>
      </c>
      <c r="M11" s="1">
        <v>200</v>
      </c>
      <c r="N11" s="1">
        <v>2.74</v>
      </c>
      <c r="O11" s="1">
        <v>140</v>
      </c>
      <c r="P11" s="1">
        <v>918</v>
      </c>
      <c r="Q11" s="1">
        <v>147.25</v>
      </c>
      <c r="R11" s="1">
        <v>143</v>
      </c>
      <c r="S11" s="1">
        <v>302</v>
      </c>
      <c r="T11" s="1">
        <v>11.5</v>
      </c>
      <c r="U11" s="1">
        <v>4</v>
      </c>
    </row>
    <row r="12" spans="1:21" x14ac:dyDescent="0.35">
      <c r="A12" s="1">
        <v>11</v>
      </c>
      <c r="B12" s="1">
        <v>3762</v>
      </c>
      <c r="C12" s="1" t="s">
        <v>49</v>
      </c>
      <c r="D12" s="1" t="s">
        <v>26</v>
      </c>
      <c r="E12" s="2">
        <v>53.713894592744694</v>
      </c>
      <c r="F12" s="2" t="str" cm="1">
        <f t="array" ref="F12">_xlfn.IFS(E12&lt;25,"Under 25",E12&lt;40,"Young Adulthood",E12&lt;60,"Middle Adulthood",E12&gt;=60,"Older Adulthood")</f>
        <v>Middle Adulthood</v>
      </c>
      <c r="G12" s="1" t="s">
        <v>23</v>
      </c>
      <c r="H12" s="1" t="s">
        <v>53</v>
      </c>
      <c r="I12" s="1" t="s">
        <v>50</v>
      </c>
      <c r="J12" s="1" t="s">
        <v>50</v>
      </c>
      <c r="K12" s="1" t="s">
        <v>54</v>
      </c>
      <c r="L12" s="1">
        <v>1.4</v>
      </c>
      <c r="M12" s="1">
        <v>259</v>
      </c>
      <c r="N12" s="1">
        <v>4.16</v>
      </c>
      <c r="O12" s="1">
        <v>46</v>
      </c>
      <c r="P12" s="1">
        <v>1104</v>
      </c>
      <c r="Q12" s="1">
        <v>79.05</v>
      </c>
      <c r="R12" s="1">
        <v>79</v>
      </c>
      <c r="S12" s="1">
        <v>258</v>
      </c>
      <c r="T12" s="1">
        <v>12</v>
      </c>
      <c r="U12" s="1">
        <v>4</v>
      </c>
    </row>
    <row r="13" spans="1:21" x14ac:dyDescent="0.35">
      <c r="A13" s="1">
        <v>12</v>
      </c>
      <c r="B13" s="1">
        <v>304</v>
      </c>
      <c r="C13" s="1" t="s">
        <v>49</v>
      </c>
      <c r="D13" s="1" t="s">
        <v>26</v>
      </c>
      <c r="E13" s="2">
        <v>59.137577002053391</v>
      </c>
      <c r="F13" s="2" t="str" cm="1">
        <f t="array" ref="F13">_xlfn.IFS(E13&lt;25,"Under 25",E13&lt;40,"Young Adulthood",E13&lt;60,"Middle Adulthood",E13&gt;=60,"Older Adulthood")</f>
        <v>Middle Adulthood</v>
      </c>
      <c r="G13" s="1" t="s">
        <v>23</v>
      </c>
      <c r="H13" s="1" t="s">
        <v>53</v>
      </c>
      <c r="I13" s="1" t="s">
        <v>53</v>
      </c>
      <c r="J13" s="1" t="s">
        <v>50</v>
      </c>
      <c r="K13" s="1" t="s">
        <v>54</v>
      </c>
      <c r="L13" s="1">
        <v>3.6</v>
      </c>
      <c r="M13" s="1">
        <v>236</v>
      </c>
      <c r="N13" s="1">
        <v>3.52</v>
      </c>
      <c r="O13" s="1">
        <v>94</v>
      </c>
      <c r="P13" s="1">
        <v>591</v>
      </c>
      <c r="Q13" s="1">
        <v>82.15</v>
      </c>
      <c r="R13" s="1">
        <v>95</v>
      </c>
      <c r="S13" s="1">
        <v>71</v>
      </c>
      <c r="T13" s="1">
        <v>13.6</v>
      </c>
      <c r="U13" s="1">
        <v>4</v>
      </c>
    </row>
    <row r="14" spans="1:21" x14ac:dyDescent="0.35">
      <c r="A14" s="1">
        <v>13</v>
      </c>
      <c r="B14" s="1">
        <v>3577</v>
      </c>
      <c r="C14" s="1" t="s">
        <v>52</v>
      </c>
      <c r="D14" s="1" t="s">
        <v>26</v>
      </c>
      <c r="E14" s="2">
        <v>45.68925393566051</v>
      </c>
      <c r="F14" s="2" t="str" cm="1">
        <f t="array" ref="F14">_xlfn.IFS(E14&lt;25,"Under 25",E14&lt;40,"Young Adulthood",E14&lt;60,"Middle Adulthood",E14&gt;=60,"Older Adulthood")</f>
        <v>Middle Adulthood</v>
      </c>
      <c r="G14" s="1" t="s">
        <v>23</v>
      </c>
      <c r="H14" s="1" t="s">
        <v>53</v>
      </c>
      <c r="I14" s="1" t="s">
        <v>53</v>
      </c>
      <c r="J14" s="1" t="s">
        <v>53</v>
      </c>
      <c r="K14" s="1" t="s">
        <v>54</v>
      </c>
      <c r="L14" s="1">
        <v>0.7</v>
      </c>
      <c r="M14" s="1">
        <v>281</v>
      </c>
      <c r="N14" s="1">
        <v>3.85</v>
      </c>
      <c r="O14" s="1">
        <v>40</v>
      </c>
      <c r="P14" s="1">
        <v>1181</v>
      </c>
      <c r="Q14" s="1">
        <v>88.35</v>
      </c>
      <c r="R14" s="1">
        <v>130</v>
      </c>
      <c r="S14" s="1">
        <v>244</v>
      </c>
      <c r="T14" s="1">
        <v>10.6</v>
      </c>
      <c r="U14" s="1">
        <v>3</v>
      </c>
    </row>
    <row r="15" spans="1:21" x14ac:dyDescent="0.35">
      <c r="A15" s="1">
        <v>14</v>
      </c>
      <c r="B15" s="1">
        <v>1217</v>
      </c>
      <c r="C15" s="1" t="s">
        <v>49</v>
      </c>
      <c r="D15" s="1" t="s">
        <v>26</v>
      </c>
      <c r="E15" s="2">
        <v>56.2217659137577</v>
      </c>
      <c r="F15" s="2" t="str" cm="1">
        <f t="array" ref="F15">_xlfn.IFS(E15&lt;25,"Under 25",E15&lt;40,"Young Adulthood",E15&lt;60,"Middle Adulthood",E15&gt;=60,"Older Adulthood")</f>
        <v>Middle Adulthood</v>
      </c>
      <c r="G15" s="1" t="s">
        <v>25</v>
      </c>
      <c r="H15" s="1" t="s">
        <v>50</v>
      </c>
      <c r="I15" s="1" t="s">
        <v>50</v>
      </c>
      <c r="J15" s="1" t="s">
        <v>53</v>
      </c>
      <c r="K15" s="1" t="s">
        <v>51</v>
      </c>
      <c r="L15" s="1">
        <v>0.8</v>
      </c>
      <c r="M15" s="1">
        <v>309.5</v>
      </c>
      <c r="N15" s="1">
        <v>2.27</v>
      </c>
      <c r="O15" s="1">
        <v>43</v>
      </c>
      <c r="P15" s="1">
        <v>728</v>
      </c>
      <c r="Q15" s="1">
        <v>71</v>
      </c>
      <c r="R15" s="1">
        <v>108</v>
      </c>
      <c r="S15" s="1">
        <v>156</v>
      </c>
      <c r="T15" s="1">
        <v>11</v>
      </c>
      <c r="U15" s="1">
        <v>4</v>
      </c>
    </row>
    <row r="16" spans="1:21" x14ac:dyDescent="0.35">
      <c r="A16" s="1">
        <v>15</v>
      </c>
      <c r="B16" s="1">
        <v>3584</v>
      </c>
      <c r="C16" s="1" t="s">
        <v>49</v>
      </c>
      <c r="D16" s="1" t="s">
        <v>21</v>
      </c>
      <c r="E16" s="2">
        <v>64.646132785763172</v>
      </c>
      <c r="F16" s="2" t="str" cm="1">
        <f t="array" ref="F16">_xlfn.IFS(E16&lt;25,"Under 25",E16&lt;40,"Young Adulthood",E16&lt;60,"Middle Adulthood",E16&gt;=60,"Older Adulthood")</f>
        <v>Older Adulthood</v>
      </c>
      <c r="G16" s="1" t="s">
        <v>23</v>
      </c>
      <c r="H16" s="1" t="s">
        <v>53</v>
      </c>
      <c r="I16" s="1" t="s">
        <v>53</v>
      </c>
      <c r="J16" s="1" t="s">
        <v>53</v>
      </c>
      <c r="K16" s="1" t="s">
        <v>54</v>
      </c>
      <c r="L16" s="1">
        <v>0.8</v>
      </c>
      <c r="M16" s="1">
        <v>231</v>
      </c>
      <c r="N16" s="1">
        <v>3.87</v>
      </c>
      <c r="O16" s="1">
        <v>173</v>
      </c>
      <c r="P16" s="1">
        <v>9009.7999999999993</v>
      </c>
      <c r="Q16" s="1">
        <v>127.71</v>
      </c>
      <c r="R16" s="1">
        <v>96</v>
      </c>
      <c r="S16" s="1">
        <v>295</v>
      </c>
      <c r="T16" s="1">
        <v>11</v>
      </c>
      <c r="U16" s="1">
        <v>3</v>
      </c>
    </row>
    <row r="17" spans="1:21" x14ac:dyDescent="0.35">
      <c r="A17" s="1">
        <v>16</v>
      </c>
      <c r="B17" s="1">
        <v>3672</v>
      </c>
      <c r="C17" s="1" t="s">
        <v>52</v>
      </c>
      <c r="D17" s="1" t="s">
        <v>26</v>
      </c>
      <c r="E17" s="2">
        <v>40.4435318275154</v>
      </c>
      <c r="F17" s="2" t="str" cm="1">
        <f t="array" ref="F17">_xlfn.IFS(E17&lt;25,"Under 25",E17&lt;40,"Young Adulthood",E17&lt;60,"Middle Adulthood",E17&gt;=60,"Older Adulthood")</f>
        <v>Middle Adulthood</v>
      </c>
      <c r="G17" s="1" t="s">
        <v>23</v>
      </c>
      <c r="H17" s="1" t="s">
        <v>53</v>
      </c>
      <c r="I17" s="1" t="s">
        <v>53</v>
      </c>
      <c r="J17" s="1" t="s">
        <v>53</v>
      </c>
      <c r="K17" s="1" t="s">
        <v>54</v>
      </c>
      <c r="L17" s="1">
        <v>0.7</v>
      </c>
      <c r="M17" s="1">
        <v>204</v>
      </c>
      <c r="N17" s="1">
        <v>3.66</v>
      </c>
      <c r="O17" s="1">
        <v>28</v>
      </c>
      <c r="P17" s="1">
        <v>685</v>
      </c>
      <c r="Q17" s="1">
        <v>72.849999999999994</v>
      </c>
      <c r="R17" s="1">
        <v>58</v>
      </c>
      <c r="S17" s="1">
        <v>198</v>
      </c>
      <c r="T17" s="1">
        <v>10.8</v>
      </c>
      <c r="U17" s="1">
        <v>3</v>
      </c>
    </row>
    <row r="18" spans="1:21" x14ac:dyDescent="0.35">
      <c r="A18" s="1">
        <v>17</v>
      </c>
      <c r="B18" s="1">
        <v>769</v>
      </c>
      <c r="C18" s="1" t="s">
        <v>49</v>
      </c>
      <c r="D18" s="1" t="s">
        <v>26</v>
      </c>
      <c r="E18" s="2">
        <v>52.183436002737849</v>
      </c>
      <c r="F18" s="2" t="str" cm="1">
        <f t="array" ref="F18">_xlfn.IFS(E18&lt;25,"Under 25",E18&lt;40,"Young Adulthood",E18&lt;60,"Middle Adulthood",E18&gt;=60,"Older Adulthood")</f>
        <v>Middle Adulthood</v>
      </c>
      <c r="G18" s="1" t="s">
        <v>23</v>
      </c>
      <c r="H18" s="1" t="s">
        <v>53</v>
      </c>
      <c r="I18" s="1" t="s">
        <v>50</v>
      </c>
      <c r="J18" s="1" t="s">
        <v>53</v>
      </c>
      <c r="K18" s="1" t="s">
        <v>54</v>
      </c>
      <c r="L18" s="1">
        <v>2.7</v>
      </c>
      <c r="M18" s="1">
        <v>274</v>
      </c>
      <c r="N18" s="1">
        <v>3.15</v>
      </c>
      <c r="O18" s="1">
        <v>159</v>
      </c>
      <c r="P18" s="1">
        <v>1533</v>
      </c>
      <c r="Q18" s="1">
        <v>117.8</v>
      </c>
      <c r="R18" s="1">
        <v>128</v>
      </c>
      <c r="S18" s="1">
        <v>224</v>
      </c>
      <c r="T18" s="1">
        <v>10.5</v>
      </c>
      <c r="U18" s="1">
        <v>4</v>
      </c>
    </row>
    <row r="19" spans="1:21" x14ac:dyDescent="0.35">
      <c r="A19" s="1">
        <v>18</v>
      </c>
      <c r="B19" s="1">
        <v>131</v>
      </c>
      <c r="C19" s="1" t="s">
        <v>49</v>
      </c>
      <c r="D19" s="1" t="s">
        <v>21</v>
      </c>
      <c r="E19" s="2">
        <v>53.930184804928132</v>
      </c>
      <c r="F19" s="2" t="str" cm="1">
        <f t="array" ref="F19">_xlfn.IFS(E19&lt;25,"Under 25",E19&lt;40,"Young Adulthood",E19&lt;60,"Middle Adulthood",E19&gt;=60,"Older Adulthood")</f>
        <v>Middle Adulthood</v>
      </c>
      <c r="G19" s="1" t="s">
        <v>23</v>
      </c>
      <c r="H19" s="1" t="s">
        <v>53</v>
      </c>
      <c r="I19" s="1" t="s">
        <v>50</v>
      </c>
      <c r="J19" s="1" t="s">
        <v>50</v>
      </c>
      <c r="K19" s="1" t="s">
        <v>51</v>
      </c>
      <c r="L19" s="1">
        <v>11.4</v>
      </c>
      <c r="M19" s="1">
        <v>178</v>
      </c>
      <c r="N19" s="1">
        <v>2.8</v>
      </c>
      <c r="O19" s="1">
        <v>588</v>
      </c>
      <c r="P19" s="1">
        <v>961</v>
      </c>
      <c r="Q19" s="1">
        <v>280.55</v>
      </c>
      <c r="R19" s="1">
        <v>200</v>
      </c>
      <c r="S19" s="1">
        <v>283</v>
      </c>
      <c r="T19" s="1">
        <v>12.4</v>
      </c>
      <c r="U19" s="1">
        <v>4</v>
      </c>
    </row>
    <row r="20" spans="1:21" x14ac:dyDescent="0.35">
      <c r="A20" s="1">
        <v>19</v>
      </c>
      <c r="B20" s="1">
        <v>4232</v>
      </c>
      <c r="C20" s="1" t="s">
        <v>52</v>
      </c>
      <c r="D20" s="1" t="s">
        <v>21</v>
      </c>
      <c r="E20" s="2">
        <v>49.560574948665298</v>
      </c>
      <c r="F20" s="2" t="str" cm="1">
        <f t="array" ref="F20">_xlfn.IFS(E20&lt;25,"Under 25",E20&lt;40,"Young Adulthood",E20&lt;60,"Middle Adulthood",E20&gt;=60,"Older Adulthood")</f>
        <v>Middle Adulthood</v>
      </c>
      <c r="G20" s="1" t="s">
        <v>23</v>
      </c>
      <c r="H20" s="1" t="s">
        <v>53</v>
      </c>
      <c r="I20" s="1" t="s">
        <v>50</v>
      </c>
      <c r="J20" s="1" t="s">
        <v>53</v>
      </c>
      <c r="K20" s="1" t="s">
        <v>55</v>
      </c>
      <c r="L20" s="1">
        <v>0.7</v>
      </c>
      <c r="M20" s="1">
        <v>235</v>
      </c>
      <c r="N20" s="1">
        <v>3.56</v>
      </c>
      <c r="O20" s="1">
        <v>39</v>
      </c>
      <c r="P20" s="1">
        <v>1881</v>
      </c>
      <c r="Q20" s="1">
        <v>93</v>
      </c>
      <c r="R20" s="1">
        <v>123</v>
      </c>
      <c r="S20" s="1">
        <v>209</v>
      </c>
      <c r="T20" s="1">
        <v>11</v>
      </c>
      <c r="U20" s="1">
        <v>3</v>
      </c>
    </row>
    <row r="21" spans="1:21" x14ac:dyDescent="0.35">
      <c r="A21" s="1">
        <v>20</v>
      </c>
      <c r="B21" s="1">
        <v>1356</v>
      </c>
      <c r="C21" s="1" t="s">
        <v>49</v>
      </c>
      <c r="D21" s="1" t="s">
        <v>26</v>
      </c>
      <c r="E21" s="2">
        <v>59.953456536618752</v>
      </c>
      <c r="F21" s="2" t="str" cm="1">
        <f t="array" ref="F21">_xlfn.IFS(E21&lt;25,"Under 25",E21&lt;40,"Young Adulthood",E21&lt;60,"Middle Adulthood",E21&gt;=60,"Older Adulthood")</f>
        <v>Middle Adulthood</v>
      </c>
      <c r="G21" s="1" t="s">
        <v>23</v>
      </c>
      <c r="H21" s="1" t="s">
        <v>53</v>
      </c>
      <c r="I21" s="1" t="s">
        <v>50</v>
      </c>
      <c r="J21" s="1" t="s">
        <v>53</v>
      </c>
      <c r="K21" s="1" t="s">
        <v>54</v>
      </c>
      <c r="L21" s="1">
        <v>5.0999999999999996</v>
      </c>
      <c r="M21" s="1">
        <v>374</v>
      </c>
      <c r="N21" s="1">
        <v>3.51</v>
      </c>
      <c r="O21" s="1">
        <v>140</v>
      </c>
      <c r="P21" s="1">
        <v>1919</v>
      </c>
      <c r="Q21" s="1">
        <v>122.45</v>
      </c>
      <c r="R21" s="1">
        <v>135</v>
      </c>
      <c r="S21" s="1">
        <v>322</v>
      </c>
      <c r="T21" s="1">
        <v>13</v>
      </c>
      <c r="U21" s="1">
        <v>4</v>
      </c>
    </row>
    <row r="22" spans="1:21" x14ac:dyDescent="0.35">
      <c r="A22" s="1">
        <v>21</v>
      </c>
      <c r="B22" s="1">
        <v>3445</v>
      </c>
      <c r="C22" s="1" t="s">
        <v>52</v>
      </c>
      <c r="D22" s="1" t="s">
        <v>26</v>
      </c>
      <c r="E22" s="2">
        <v>64.188911704312119</v>
      </c>
      <c r="F22" s="2" t="str" cm="1">
        <f t="array" ref="F22">_xlfn.IFS(E22&lt;25,"Under 25",E22&lt;40,"Young Adulthood",E22&lt;60,"Middle Adulthood",E22&gt;=60,"Older Adulthood")</f>
        <v>Older Adulthood</v>
      </c>
      <c r="G22" s="1" t="s">
        <v>25</v>
      </c>
      <c r="H22" s="1" t="s">
        <v>53</v>
      </c>
      <c r="I22" s="1" t="s">
        <v>50</v>
      </c>
      <c r="J22" s="1" t="s">
        <v>50</v>
      </c>
      <c r="K22" s="1" t="s">
        <v>54</v>
      </c>
      <c r="L22" s="1">
        <v>0.6</v>
      </c>
      <c r="M22" s="1">
        <v>252</v>
      </c>
      <c r="N22" s="1">
        <v>3.83</v>
      </c>
      <c r="O22" s="1">
        <v>41</v>
      </c>
      <c r="P22" s="1">
        <v>843</v>
      </c>
      <c r="Q22" s="1">
        <v>65.099999999999994</v>
      </c>
      <c r="R22" s="1">
        <v>83</v>
      </c>
      <c r="S22" s="1">
        <v>336</v>
      </c>
      <c r="T22" s="1">
        <v>11.4</v>
      </c>
      <c r="U22" s="1">
        <v>4</v>
      </c>
    </row>
    <row r="23" spans="1:21" x14ac:dyDescent="0.35">
      <c r="A23" s="1">
        <v>22</v>
      </c>
      <c r="B23" s="1">
        <v>673</v>
      </c>
      <c r="C23" s="1" t="s">
        <v>49</v>
      </c>
      <c r="D23" s="1" t="s">
        <v>21</v>
      </c>
      <c r="E23" s="2">
        <v>56.276522929500345</v>
      </c>
      <c r="F23" s="2" t="str" cm="1">
        <f t="array" ref="F23">_xlfn.IFS(E23&lt;25,"Under 25",E23&lt;40,"Young Adulthood",E23&lt;60,"Middle Adulthood",E23&gt;=60,"Older Adulthood")</f>
        <v>Middle Adulthood</v>
      </c>
      <c r="G23" s="1" t="s">
        <v>23</v>
      </c>
      <c r="H23" s="1" t="s">
        <v>53</v>
      </c>
      <c r="I23" s="1" t="s">
        <v>53</v>
      </c>
      <c r="J23" s="1" t="s">
        <v>50</v>
      </c>
      <c r="K23" s="1" t="s">
        <v>54</v>
      </c>
      <c r="L23" s="1">
        <v>3.4</v>
      </c>
      <c r="M23" s="1">
        <v>271</v>
      </c>
      <c r="N23" s="1">
        <v>3.63</v>
      </c>
      <c r="O23" s="1">
        <v>464</v>
      </c>
      <c r="P23" s="1">
        <v>1376</v>
      </c>
      <c r="Q23" s="1">
        <v>120.9</v>
      </c>
      <c r="R23" s="1">
        <v>55</v>
      </c>
      <c r="S23" s="1">
        <v>173</v>
      </c>
      <c r="T23" s="1">
        <v>11.6</v>
      </c>
      <c r="U23" s="1">
        <v>4</v>
      </c>
    </row>
    <row r="24" spans="1:21" x14ac:dyDescent="0.35">
      <c r="A24" s="1">
        <v>23</v>
      </c>
      <c r="B24" s="1">
        <v>264</v>
      </c>
      <c r="C24" s="1" t="s">
        <v>49</v>
      </c>
      <c r="D24" s="1" t="s">
        <v>26</v>
      </c>
      <c r="E24" s="2">
        <v>55.967145790554412</v>
      </c>
      <c r="F24" s="2" t="str" cm="1">
        <f t="array" ref="F24">_xlfn.IFS(E24&lt;25,"Under 25",E24&lt;40,"Young Adulthood",E24&lt;60,"Middle Adulthood",E24&gt;=60,"Older Adulthood")</f>
        <v>Middle Adulthood</v>
      </c>
      <c r="G24" s="1" t="s">
        <v>23</v>
      </c>
      <c r="H24" s="1" t="s">
        <v>50</v>
      </c>
      <c r="I24" s="1" t="s">
        <v>50</v>
      </c>
      <c r="J24" s="1" t="s">
        <v>50</v>
      </c>
      <c r="K24" s="1" t="s">
        <v>51</v>
      </c>
      <c r="L24" s="1">
        <v>17.399999999999999</v>
      </c>
      <c r="M24" s="1">
        <v>395</v>
      </c>
      <c r="N24" s="1">
        <v>2.94</v>
      </c>
      <c r="O24" s="1">
        <v>558</v>
      </c>
      <c r="P24" s="1">
        <v>6064.8</v>
      </c>
      <c r="Q24" s="1">
        <v>227.04</v>
      </c>
      <c r="R24" s="1">
        <v>191</v>
      </c>
      <c r="S24" s="1">
        <v>214</v>
      </c>
      <c r="T24" s="1">
        <v>11.7</v>
      </c>
      <c r="U24" s="1">
        <v>4</v>
      </c>
    </row>
    <row r="25" spans="1:21" x14ac:dyDescent="0.35">
      <c r="A25" s="1">
        <v>24</v>
      </c>
      <c r="B25" s="1">
        <v>4079</v>
      </c>
      <c r="C25" s="1" t="s">
        <v>49</v>
      </c>
      <c r="D25" s="1" t="s">
        <v>21</v>
      </c>
      <c r="E25" s="2">
        <v>44.520191649555102</v>
      </c>
      <c r="F25" s="2" t="str" cm="1">
        <f t="array" ref="F25">_xlfn.IFS(E25&lt;25,"Under 25",E25&lt;40,"Young Adulthood",E25&lt;60,"Middle Adulthood",E25&gt;=60,"Older Adulthood")</f>
        <v>Middle Adulthood</v>
      </c>
      <c r="G25" s="1" t="s">
        <v>25</v>
      </c>
      <c r="H25" s="1" t="s">
        <v>53</v>
      </c>
      <c r="I25" s="1" t="s">
        <v>50</v>
      </c>
      <c r="J25" s="1" t="s">
        <v>53</v>
      </c>
      <c r="K25" s="1" t="s">
        <v>54</v>
      </c>
      <c r="L25" s="1">
        <v>2.1</v>
      </c>
      <c r="M25" s="1">
        <v>456</v>
      </c>
      <c r="N25" s="1">
        <v>4</v>
      </c>
      <c r="O25" s="1">
        <v>124</v>
      </c>
      <c r="P25" s="1">
        <v>5719</v>
      </c>
      <c r="Q25" s="1">
        <v>221.88</v>
      </c>
      <c r="R25" s="1">
        <v>230</v>
      </c>
      <c r="S25" s="1">
        <v>70</v>
      </c>
      <c r="T25" s="1">
        <v>9.9</v>
      </c>
      <c r="U25" s="1">
        <v>2</v>
      </c>
    </row>
    <row r="26" spans="1:21" x14ac:dyDescent="0.35">
      <c r="A26" s="1">
        <v>25</v>
      </c>
      <c r="B26" s="1">
        <v>4127</v>
      </c>
      <c r="C26" s="1" t="s">
        <v>52</v>
      </c>
      <c r="D26" s="1" t="s">
        <v>26</v>
      </c>
      <c r="E26" s="2">
        <v>45.073237508555785</v>
      </c>
      <c r="F26" s="2" t="str" cm="1">
        <f t="array" ref="F26">_xlfn.IFS(E26&lt;25,"Under 25",E26&lt;40,"Young Adulthood",E26&lt;60,"Middle Adulthood",E26&gt;=60,"Older Adulthood")</f>
        <v>Middle Adulthood</v>
      </c>
      <c r="G26" s="1" t="s">
        <v>23</v>
      </c>
      <c r="H26" s="1" t="s">
        <v>53</v>
      </c>
      <c r="I26" s="1" t="s">
        <v>53</v>
      </c>
      <c r="J26" s="1" t="s">
        <v>53</v>
      </c>
      <c r="K26" s="1" t="s">
        <v>54</v>
      </c>
      <c r="L26" s="1">
        <v>0.7</v>
      </c>
      <c r="M26" s="1">
        <v>298</v>
      </c>
      <c r="N26" s="1">
        <v>4.0999999999999996</v>
      </c>
      <c r="O26" s="1">
        <v>40</v>
      </c>
      <c r="P26" s="1">
        <v>661</v>
      </c>
      <c r="Q26" s="1">
        <v>106.95</v>
      </c>
      <c r="R26" s="1">
        <v>66</v>
      </c>
      <c r="S26" s="1">
        <v>324</v>
      </c>
      <c r="T26" s="1">
        <v>11.3</v>
      </c>
      <c r="U26" s="1">
        <v>2</v>
      </c>
    </row>
    <row r="27" spans="1:21" x14ac:dyDescent="0.35">
      <c r="A27" s="1">
        <v>26</v>
      </c>
      <c r="B27" s="1">
        <v>1444</v>
      </c>
      <c r="C27" s="1" t="s">
        <v>49</v>
      </c>
      <c r="D27" s="1" t="s">
        <v>26</v>
      </c>
      <c r="E27" s="2">
        <v>52.024640657084191</v>
      </c>
      <c r="F27" s="2" t="str" cm="1">
        <f t="array" ref="F27">_xlfn.IFS(E27&lt;25,"Under 25",E27&lt;40,"Young Adulthood",E27&lt;60,"Middle Adulthood",E27&gt;=60,"Older Adulthood")</f>
        <v>Middle Adulthood</v>
      </c>
      <c r="G27" s="1" t="s">
        <v>23</v>
      </c>
      <c r="H27" s="1" t="s">
        <v>53</v>
      </c>
      <c r="I27" s="1" t="s">
        <v>50</v>
      </c>
      <c r="J27" s="1" t="s">
        <v>50</v>
      </c>
      <c r="K27" s="1" t="s">
        <v>54</v>
      </c>
      <c r="L27" s="1">
        <v>5.2</v>
      </c>
      <c r="M27" s="1">
        <v>1128</v>
      </c>
      <c r="N27" s="1">
        <v>3.68</v>
      </c>
      <c r="O27" s="1">
        <v>53</v>
      </c>
      <c r="P27" s="1">
        <v>3228</v>
      </c>
      <c r="Q27" s="1">
        <v>165.85</v>
      </c>
      <c r="R27" s="1">
        <v>166</v>
      </c>
      <c r="S27" s="1">
        <v>421</v>
      </c>
      <c r="T27" s="1">
        <v>9.9</v>
      </c>
      <c r="U27" s="1">
        <v>3</v>
      </c>
    </row>
    <row r="28" spans="1:21" x14ac:dyDescent="0.35">
      <c r="A28" s="1">
        <v>27</v>
      </c>
      <c r="B28" s="1">
        <v>77</v>
      </c>
      <c r="C28" s="1" t="s">
        <v>49</v>
      </c>
      <c r="D28" s="1" t="s">
        <v>26</v>
      </c>
      <c r="E28" s="2">
        <v>54.439425051334702</v>
      </c>
      <c r="F28" s="2" t="str" cm="1">
        <f t="array" ref="F28">_xlfn.IFS(E28&lt;25,"Under 25",E28&lt;40,"Young Adulthood",E28&lt;60,"Middle Adulthood",E28&gt;=60,"Older Adulthood")</f>
        <v>Middle Adulthood</v>
      </c>
      <c r="G28" s="1" t="s">
        <v>23</v>
      </c>
      <c r="H28" s="1" t="s">
        <v>50</v>
      </c>
      <c r="I28" s="1" t="s">
        <v>50</v>
      </c>
      <c r="J28" s="1" t="s">
        <v>50</v>
      </c>
      <c r="K28" s="1" t="s">
        <v>55</v>
      </c>
      <c r="L28" s="1">
        <v>21.6</v>
      </c>
      <c r="M28" s="1">
        <v>175</v>
      </c>
      <c r="N28" s="1">
        <v>3.31</v>
      </c>
      <c r="O28" s="1">
        <v>221</v>
      </c>
      <c r="P28" s="1">
        <v>3697.4</v>
      </c>
      <c r="Q28" s="1">
        <v>101.91</v>
      </c>
      <c r="R28" s="1">
        <v>168</v>
      </c>
      <c r="S28" s="1">
        <v>80</v>
      </c>
      <c r="T28" s="1">
        <v>12</v>
      </c>
      <c r="U28" s="1">
        <v>4</v>
      </c>
    </row>
    <row r="29" spans="1:21" x14ac:dyDescent="0.35">
      <c r="A29" s="1">
        <v>28</v>
      </c>
      <c r="B29" s="1">
        <v>549</v>
      </c>
      <c r="C29" s="1" t="s">
        <v>49</v>
      </c>
      <c r="D29" s="1" t="s">
        <v>26</v>
      </c>
      <c r="E29" s="2">
        <v>44.947296372347708</v>
      </c>
      <c r="F29" s="2" t="str" cm="1">
        <f t="array" ref="F29">_xlfn.IFS(E29&lt;25,"Under 25",E29&lt;40,"Young Adulthood",E29&lt;60,"Middle Adulthood",E29&gt;=60,"Older Adulthood")</f>
        <v>Middle Adulthood</v>
      </c>
      <c r="G29" s="1" t="s">
        <v>23</v>
      </c>
      <c r="H29" s="1" t="s">
        <v>50</v>
      </c>
      <c r="I29" s="1" t="s">
        <v>50</v>
      </c>
      <c r="J29" s="1" t="s">
        <v>50</v>
      </c>
      <c r="K29" s="1" t="s">
        <v>51</v>
      </c>
      <c r="L29" s="1">
        <v>17.2</v>
      </c>
      <c r="M29" s="1">
        <v>222</v>
      </c>
      <c r="N29" s="1">
        <v>3.23</v>
      </c>
      <c r="O29" s="1">
        <v>209</v>
      </c>
      <c r="P29" s="1">
        <v>1975</v>
      </c>
      <c r="Q29" s="1">
        <v>189.1</v>
      </c>
      <c r="R29" s="1">
        <v>195</v>
      </c>
      <c r="S29" s="1">
        <v>144</v>
      </c>
      <c r="T29" s="1">
        <v>13</v>
      </c>
      <c r="U29" s="1">
        <v>4</v>
      </c>
    </row>
    <row r="30" spans="1:21" x14ac:dyDescent="0.35">
      <c r="A30" s="1">
        <v>29</v>
      </c>
      <c r="B30" s="1">
        <v>4509</v>
      </c>
      <c r="C30" s="1" t="s">
        <v>52</v>
      </c>
      <c r="D30" s="1" t="s">
        <v>26</v>
      </c>
      <c r="E30" s="2">
        <v>63.876796714579058</v>
      </c>
      <c r="F30" s="2" t="str" cm="1">
        <f t="array" ref="F30">_xlfn.IFS(E30&lt;25,"Under 25",E30&lt;40,"Young Adulthood",E30&lt;60,"Middle Adulthood",E30&gt;=60,"Older Adulthood")</f>
        <v>Older Adulthood</v>
      </c>
      <c r="G30" s="1" t="s">
        <v>23</v>
      </c>
      <c r="H30" s="1" t="s">
        <v>53</v>
      </c>
      <c r="I30" s="1" t="s">
        <v>53</v>
      </c>
      <c r="J30" s="1" t="s">
        <v>53</v>
      </c>
      <c r="K30" s="1" t="s">
        <v>54</v>
      </c>
      <c r="L30" s="1">
        <v>0.7</v>
      </c>
      <c r="M30" s="1">
        <v>370</v>
      </c>
      <c r="N30" s="1">
        <v>3.78</v>
      </c>
      <c r="O30" s="1">
        <v>24</v>
      </c>
      <c r="P30" s="1">
        <v>5833</v>
      </c>
      <c r="Q30" s="1">
        <v>73.53</v>
      </c>
      <c r="R30" s="1">
        <v>86</v>
      </c>
      <c r="S30" s="1">
        <v>390</v>
      </c>
      <c r="T30" s="1">
        <v>10.6</v>
      </c>
      <c r="U30" s="1">
        <v>2</v>
      </c>
    </row>
    <row r="31" spans="1:21" x14ac:dyDescent="0.35">
      <c r="A31" s="1">
        <v>30</v>
      </c>
      <c r="B31" s="1">
        <v>321</v>
      </c>
      <c r="C31" s="1" t="s">
        <v>49</v>
      </c>
      <c r="D31" s="1" t="s">
        <v>26</v>
      </c>
      <c r="E31" s="2">
        <v>41.385352498288846</v>
      </c>
      <c r="F31" s="2" t="str" cm="1">
        <f t="array" ref="F31">_xlfn.IFS(E31&lt;25,"Under 25",E31&lt;40,"Young Adulthood",E31&lt;60,"Middle Adulthood",E31&gt;=60,"Older Adulthood")</f>
        <v>Middle Adulthood</v>
      </c>
      <c r="G31" s="1" t="s">
        <v>23</v>
      </c>
      <c r="H31" s="1" t="s">
        <v>53</v>
      </c>
      <c r="I31" s="1" t="s">
        <v>50</v>
      </c>
      <c r="J31" s="1" t="s">
        <v>50</v>
      </c>
      <c r="K31" s="1" t="s">
        <v>54</v>
      </c>
      <c r="L31" s="1">
        <v>3.6</v>
      </c>
      <c r="M31" s="1">
        <v>260</v>
      </c>
      <c r="N31" s="1">
        <v>2.54</v>
      </c>
      <c r="O31" s="1">
        <v>172</v>
      </c>
      <c r="P31" s="1">
        <v>7277</v>
      </c>
      <c r="Q31" s="1">
        <v>121.26</v>
      </c>
      <c r="R31" s="1">
        <v>158</v>
      </c>
      <c r="S31" s="1">
        <v>124</v>
      </c>
      <c r="T31" s="1">
        <v>11</v>
      </c>
      <c r="U31" s="1">
        <v>4</v>
      </c>
    </row>
    <row r="32" spans="1:21" x14ac:dyDescent="0.35">
      <c r="A32" s="1">
        <v>31</v>
      </c>
      <c r="B32" s="1">
        <v>3839</v>
      </c>
      <c r="C32" s="1" t="s">
        <v>49</v>
      </c>
      <c r="D32" s="1" t="s">
        <v>26</v>
      </c>
      <c r="E32" s="2">
        <v>41.552361396303901</v>
      </c>
      <c r="F32" s="2" t="str" cm="1">
        <f t="array" ref="F32">_xlfn.IFS(E32&lt;25,"Under 25",E32&lt;40,"Young Adulthood",E32&lt;60,"Middle Adulthood",E32&gt;=60,"Older Adulthood")</f>
        <v>Middle Adulthood</v>
      </c>
      <c r="G32" s="1" t="s">
        <v>23</v>
      </c>
      <c r="H32" s="1" t="s">
        <v>53</v>
      </c>
      <c r="I32" s="1" t="s">
        <v>50</v>
      </c>
      <c r="J32" s="1" t="s">
        <v>53</v>
      </c>
      <c r="K32" s="1" t="s">
        <v>54</v>
      </c>
      <c r="L32" s="1">
        <v>4.7</v>
      </c>
      <c r="M32" s="1">
        <v>296</v>
      </c>
      <c r="N32" s="1">
        <v>3.44</v>
      </c>
      <c r="O32" s="1">
        <v>114</v>
      </c>
      <c r="P32" s="1">
        <v>9933.2000000000007</v>
      </c>
      <c r="Q32" s="1">
        <v>206.4</v>
      </c>
      <c r="R32" s="1">
        <v>101</v>
      </c>
      <c r="S32" s="1">
        <v>195</v>
      </c>
      <c r="T32" s="1">
        <v>10.3</v>
      </c>
      <c r="U32" s="1">
        <v>2</v>
      </c>
    </row>
    <row r="33" spans="1:21" x14ac:dyDescent="0.35">
      <c r="A33" s="1">
        <v>32</v>
      </c>
      <c r="B33" s="1">
        <v>4523</v>
      </c>
      <c r="C33" s="1" t="s">
        <v>52</v>
      </c>
      <c r="D33" s="1" t="s">
        <v>26</v>
      </c>
      <c r="E33" s="2">
        <v>53.995893223819301</v>
      </c>
      <c r="F33" s="2" t="str" cm="1">
        <f t="array" ref="F33">_xlfn.IFS(E33&lt;25,"Under 25",E33&lt;40,"Young Adulthood",E33&lt;60,"Middle Adulthood",E33&gt;=60,"Older Adulthood")</f>
        <v>Middle Adulthood</v>
      </c>
      <c r="G33" s="1" t="s">
        <v>23</v>
      </c>
      <c r="H33" s="1" t="s">
        <v>53</v>
      </c>
      <c r="I33" s="1" t="s">
        <v>50</v>
      </c>
      <c r="J33" s="1" t="s">
        <v>53</v>
      </c>
      <c r="K33" s="1" t="s">
        <v>54</v>
      </c>
      <c r="L33" s="1">
        <v>1.8</v>
      </c>
      <c r="M33" s="1">
        <v>262</v>
      </c>
      <c r="N33" s="1">
        <v>3.34</v>
      </c>
      <c r="O33" s="1">
        <v>101</v>
      </c>
      <c r="P33" s="1">
        <v>7277</v>
      </c>
      <c r="Q33" s="1">
        <v>82.56</v>
      </c>
      <c r="R33" s="1">
        <v>158</v>
      </c>
      <c r="S33" s="1">
        <v>286</v>
      </c>
      <c r="T33" s="1">
        <v>10.6</v>
      </c>
      <c r="U33" s="1">
        <v>4</v>
      </c>
    </row>
    <row r="34" spans="1:21" x14ac:dyDescent="0.35">
      <c r="A34" s="1">
        <v>33</v>
      </c>
      <c r="B34" s="1">
        <v>3170</v>
      </c>
      <c r="C34" s="1" t="s">
        <v>49</v>
      </c>
      <c r="D34" s="1" t="s">
        <v>26</v>
      </c>
      <c r="E34" s="2">
        <v>51.282683093771389</v>
      </c>
      <c r="F34" s="2" t="str" cm="1">
        <f t="array" ref="F34">_xlfn.IFS(E34&lt;25,"Under 25",E34&lt;40,"Young Adulthood",E34&lt;60,"Middle Adulthood",E34&gt;=60,"Older Adulthood")</f>
        <v>Middle Adulthood</v>
      </c>
      <c r="G34" s="1" t="s">
        <v>23</v>
      </c>
      <c r="H34" s="1" t="s">
        <v>53</v>
      </c>
      <c r="I34" s="1" t="s">
        <v>53</v>
      </c>
      <c r="J34" s="1" t="s">
        <v>53</v>
      </c>
      <c r="K34" s="1" t="s">
        <v>54</v>
      </c>
      <c r="L34" s="1">
        <v>0.8</v>
      </c>
      <c r="M34" s="1">
        <v>210</v>
      </c>
      <c r="N34" s="1">
        <v>3.19</v>
      </c>
      <c r="O34" s="1">
        <v>82</v>
      </c>
      <c r="P34" s="1">
        <v>1592</v>
      </c>
      <c r="Q34" s="1">
        <v>218.55</v>
      </c>
      <c r="R34" s="1">
        <v>113</v>
      </c>
      <c r="S34" s="1">
        <v>180</v>
      </c>
      <c r="T34" s="1">
        <v>12</v>
      </c>
      <c r="U34" s="1">
        <v>3</v>
      </c>
    </row>
    <row r="35" spans="1:21" x14ac:dyDescent="0.35">
      <c r="A35" s="1">
        <v>34</v>
      </c>
      <c r="B35" s="1">
        <v>3933</v>
      </c>
      <c r="C35" s="1" t="s">
        <v>52</v>
      </c>
      <c r="D35" s="1" t="s">
        <v>21</v>
      </c>
      <c r="E35" s="2">
        <v>52.060232717316907</v>
      </c>
      <c r="F35" s="2" t="str" cm="1">
        <f t="array" ref="F35">_xlfn.IFS(E35&lt;25,"Under 25",E35&lt;40,"Young Adulthood",E35&lt;60,"Middle Adulthood",E35&gt;=60,"Older Adulthood")</f>
        <v>Middle Adulthood</v>
      </c>
      <c r="G35" s="1" t="s">
        <v>23</v>
      </c>
      <c r="H35" s="1" t="s">
        <v>53</v>
      </c>
      <c r="I35" s="1" t="s">
        <v>53</v>
      </c>
      <c r="J35" s="1" t="s">
        <v>53</v>
      </c>
      <c r="K35" s="1" t="s">
        <v>54</v>
      </c>
      <c r="L35" s="1">
        <v>0.8</v>
      </c>
      <c r="M35" s="1">
        <v>364</v>
      </c>
      <c r="N35" s="1">
        <v>3.7</v>
      </c>
      <c r="O35" s="1">
        <v>37</v>
      </c>
      <c r="P35" s="1">
        <v>1840</v>
      </c>
      <c r="Q35" s="1">
        <v>170.5</v>
      </c>
      <c r="R35" s="1">
        <v>64</v>
      </c>
      <c r="S35" s="1">
        <v>273</v>
      </c>
      <c r="T35" s="1">
        <v>10.5</v>
      </c>
      <c r="U35" s="1">
        <v>2</v>
      </c>
    </row>
    <row r="36" spans="1:21" x14ac:dyDescent="0.35">
      <c r="A36" s="1">
        <v>35</v>
      </c>
      <c r="B36" s="1">
        <v>2847</v>
      </c>
      <c r="C36" s="1" t="s">
        <v>49</v>
      </c>
      <c r="D36" s="1" t="s">
        <v>26</v>
      </c>
      <c r="E36" s="2">
        <v>48.618754277891853</v>
      </c>
      <c r="F36" s="2" t="str" cm="1">
        <f t="array" ref="F36">_xlfn.IFS(E36&lt;25,"Under 25",E36&lt;40,"Young Adulthood",E36&lt;60,"Middle Adulthood",E36&gt;=60,"Older Adulthood")</f>
        <v>Middle Adulthood</v>
      </c>
      <c r="G36" s="1" t="s">
        <v>23</v>
      </c>
      <c r="H36" s="1" t="s">
        <v>53</v>
      </c>
      <c r="I36" s="1" t="s">
        <v>53</v>
      </c>
      <c r="J36" s="1" t="s">
        <v>53</v>
      </c>
      <c r="K36" s="1" t="s">
        <v>54</v>
      </c>
      <c r="L36" s="1">
        <v>1.2</v>
      </c>
      <c r="M36" s="1">
        <v>314</v>
      </c>
      <c r="N36" s="1">
        <v>3.2</v>
      </c>
      <c r="O36" s="1">
        <v>201</v>
      </c>
      <c r="P36" s="1">
        <v>12258.8</v>
      </c>
      <c r="Q36" s="1">
        <v>72.239999999999995</v>
      </c>
      <c r="R36" s="1">
        <v>151</v>
      </c>
      <c r="S36" s="1">
        <v>431</v>
      </c>
      <c r="T36" s="1">
        <v>10.6</v>
      </c>
      <c r="U36" s="1">
        <v>3</v>
      </c>
    </row>
    <row r="37" spans="1:21" x14ac:dyDescent="0.35">
      <c r="A37" s="1">
        <v>36</v>
      </c>
      <c r="B37" s="1">
        <v>3611</v>
      </c>
      <c r="C37" s="1" t="s">
        <v>52</v>
      </c>
      <c r="D37" s="1" t="s">
        <v>26</v>
      </c>
      <c r="E37" s="2">
        <v>56.410677618069812</v>
      </c>
      <c r="F37" s="2" t="str" cm="1">
        <f t="array" ref="F37">_xlfn.IFS(E37&lt;25,"Under 25",E37&lt;40,"Young Adulthood",E37&lt;60,"Middle Adulthood",E37&gt;=60,"Older Adulthood")</f>
        <v>Middle Adulthood</v>
      </c>
      <c r="G37" s="1" t="s">
        <v>23</v>
      </c>
      <c r="H37" s="1" t="s">
        <v>53</v>
      </c>
      <c r="I37" s="1" t="s">
        <v>53</v>
      </c>
      <c r="J37" s="1" t="s">
        <v>53</v>
      </c>
      <c r="K37" s="1" t="s">
        <v>54</v>
      </c>
      <c r="L37" s="1">
        <v>0.3</v>
      </c>
      <c r="M37" s="1">
        <v>172</v>
      </c>
      <c r="N37" s="1">
        <v>3.39</v>
      </c>
      <c r="O37" s="1">
        <v>18</v>
      </c>
      <c r="P37" s="1">
        <v>558</v>
      </c>
      <c r="Q37" s="1">
        <v>71.3</v>
      </c>
      <c r="R37" s="1">
        <v>96</v>
      </c>
      <c r="S37" s="1">
        <v>311</v>
      </c>
      <c r="T37" s="1">
        <v>10.6</v>
      </c>
      <c r="U37" s="1">
        <v>2</v>
      </c>
    </row>
    <row r="38" spans="1:21" x14ac:dyDescent="0.35">
      <c r="A38" s="1">
        <v>37</v>
      </c>
      <c r="B38" s="1">
        <v>223</v>
      </c>
      <c r="C38" s="1" t="s">
        <v>49</v>
      </c>
      <c r="D38" s="1" t="s">
        <v>21</v>
      </c>
      <c r="E38" s="2">
        <v>61.727583846680353</v>
      </c>
      <c r="F38" s="2" t="str" cm="1">
        <f t="array" ref="F38">_xlfn.IFS(E38&lt;25,"Under 25",E38&lt;40,"Young Adulthood",E38&lt;60,"Middle Adulthood",E38&gt;=60,"Older Adulthood")</f>
        <v>Older Adulthood</v>
      </c>
      <c r="G38" s="1" t="s">
        <v>23</v>
      </c>
      <c r="H38" s="1" t="s">
        <v>50</v>
      </c>
      <c r="I38" s="1" t="s">
        <v>50</v>
      </c>
      <c r="J38" s="1" t="s">
        <v>53</v>
      </c>
      <c r="K38" s="1" t="s">
        <v>51</v>
      </c>
      <c r="L38" s="1">
        <v>7.1</v>
      </c>
      <c r="M38" s="1">
        <v>334</v>
      </c>
      <c r="N38" s="1">
        <v>3.01</v>
      </c>
      <c r="O38" s="1">
        <v>150</v>
      </c>
      <c r="P38" s="1">
        <v>6931.2</v>
      </c>
      <c r="Q38" s="1">
        <v>180.6</v>
      </c>
      <c r="R38" s="1">
        <v>118</v>
      </c>
      <c r="S38" s="1">
        <v>102</v>
      </c>
      <c r="T38" s="1">
        <v>12</v>
      </c>
      <c r="U38" s="1">
        <v>4</v>
      </c>
    </row>
    <row r="39" spans="1:21" x14ac:dyDescent="0.35">
      <c r="A39" s="1">
        <v>38</v>
      </c>
      <c r="B39" s="1">
        <v>3244</v>
      </c>
      <c r="C39" s="1" t="s">
        <v>49</v>
      </c>
      <c r="D39" s="1" t="s">
        <v>26</v>
      </c>
      <c r="E39" s="2">
        <v>36.62696783025325</v>
      </c>
      <c r="F39" s="2" t="str" cm="1">
        <f t="array" ref="F39">_xlfn.IFS(E39&lt;25,"Under 25",E39&lt;40,"Young Adulthood",E39&lt;60,"Middle Adulthood",E39&gt;=60,"Older Adulthood")</f>
        <v>Young Adulthood</v>
      </c>
      <c r="G39" s="1" t="s">
        <v>23</v>
      </c>
      <c r="H39" s="1" t="s">
        <v>53</v>
      </c>
      <c r="I39" s="1" t="s">
        <v>50</v>
      </c>
      <c r="J39" s="1" t="s">
        <v>50</v>
      </c>
      <c r="K39" s="1" t="s">
        <v>54</v>
      </c>
      <c r="L39" s="1">
        <v>3.3</v>
      </c>
      <c r="M39" s="1">
        <v>383</v>
      </c>
      <c r="N39" s="1">
        <v>3.53</v>
      </c>
      <c r="O39" s="1">
        <v>102</v>
      </c>
      <c r="P39" s="1">
        <v>1234</v>
      </c>
      <c r="Q39" s="1">
        <v>137.94999999999999</v>
      </c>
      <c r="R39" s="1">
        <v>87</v>
      </c>
      <c r="S39" s="1">
        <v>234</v>
      </c>
      <c r="T39" s="1">
        <v>11</v>
      </c>
      <c r="U39" s="1">
        <v>4</v>
      </c>
    </row>
    <row r="40" spans="1:21" x14ac:dyDescent="0.35">
      <c r="A40" s="1">
        <v>39</v>
      </c>
      <c r="B40" s="1">
        <v>2297</v>
      </c>
      <c r="C40" s="1" t="s">
        <v>49</v>
      </c>
      <c r="D40" s="1" t="s">
        <v>21</v>
      </c>
      <c r="E40" s="2">
        <v>55.392197125256672</v>
      </c>
      <c r="F40" s="2" t="str" cm="1">
        <f t="array" ref="F40">_xlfn.IFS(E40&lt;25,"Under 25",E40&lt;40,"Young Adulthood",E40&lt;60,"Middle Adulthood",E40&gt;=60,"Older Adulthood")</f>
        <v>Middle Adulthood</v>
      </c>
      <c r="G40" s="1" t="s">
        <v>23</v>
      </c>
      <c r="H40" s="1" t="s">
        <v>53</v>
      </c>
      <c r="I40" s="1" t="s">
        <v>50</v>
      </c>
      <c r="J40" s="1" t="s">
        <v>53</v>
      </c>
      <c r="K40" s="1" t="s">
        <v>54</v>
      </c>
      <c r="L40" s="1">
        <v>0.7</v>
      </c>
      <c r="M40" s="1">
        <v>282</v>
      </c>
      <c r="N40" s="1">
        <v>3</v>
      </c>
      <c r="O40" s="1">
        <v>52</v>
      </c>
      <c r="P40" s="1">
        <v>9066.7999999999993</v>
      </c>
      <c r="Q40" s="1">
        <v>72.239999999999995</v>
      </c>
      <c r="R40" s="1">
        <v>111</v>
      </c>
      <c r="S40" s="1">
        <v>563</v>
      </c>
      <c r="T40" s="1">
        <v>10.6</v>
      </c>
      <c r="U40" s="1">
        <v>4</v>
      </c>
    </row>
    <row r="41" spans="1:21" x14ac:dyDescent="0.35">
      <c r="A41" s="1">
        <v>40</v>
      </c>
      <c r="B41" s="1">
        <v>4467</v>
      </c>
      <c r="C41" s="1" t="s">
        <v>52</v>
      </c>
      <c r="D41" s="1" t="s">
        <v>21</v>
      </c>
      <c r="E41" s="2">
        <v>46.669404517453799</v>
      </c>
      <c r="F41" s="2" t="str" cm="1">
        <f t="array" ref="F41">_xlfn.IFS(E41&lt;25,"Under 25",E41&lt;40,"Young Adulthood",E41&lt;60,"Middle Adulthood",E41&gt;=60,"Older Adulthood")</f>
        <v>Middle Adulthood</v>
      </c>
      <c r="G41" s="1" t="s">
        <v>23</v>
      </c>
      <c r="H41" s="1" t="s">
        <v>53</v>
      </c>
      <c r="I41" s="1" t="s">
        <v>53</v>
      </c>
      <c r="J41" s="1" t="s">
        <v>53</v>
      </c>
      <c r="K41" s="1" t="s">
        <v>54</v>
      </c>
      <c r="L41" s="1">
        <v>1.3</v>
      </c>
      <c r="M41" s="1">
        <v>309.5</v>
      </c>
      <c r="N41" s="1">
        <v>3.34</v>
      </c>
      <c r="O41" s="1">
        <v>105</v>
      </c>
      <c r="P41" s="1">
        <v>11046.6</v>
      </c>
      <c r="Q41" s="1">
        <v>104.49</v>
      </c>
      <c r="R41" s="1">
        <v>108</v>
      </c>
      <c r="S41" s="1">
        <v>358</v>
      </c>
      <c r="T41" s="1">
        <v>11</v>
      </c>
      <c r="U41" s="1">
        <v>4</v>
      </c>
    </row>
    <row r="42" spans="1:21" x14ac:dyDescent="0.35">
      <c r="A42" s="1">
        <v>41</v>
      </c>
      <c r="B42" s="1">
        <v>1350</v>
      </c>
      <c r="C42" s="1" t="s">
        <v>49</v>
      </c>
      <c r="D42" s="1" t="s">
        <v>21</v>
      </c>
      <c r="E42" s="2">
        <v>33.634496919917865</v>
      </c>
      <c r="F42" s="2" t="str" cm="1">
        <f t="array" ref="F42">_xlfn.IFS(E42&lt;25,"Under 25",E42&lt;40,"Young Adulthood",E42&lt;60,"Middle Adulthood",E42&gt;=60,"Older Adulthood")</f>
        <v>Young Adulthood</v>
      </c>
      <c r="G42" s="1" t="s">
        <v>23</v>
      </c>
      <c r="H42" s="1" t="s">
        <v>53</v>
      </c>
      <c r="I42" s="1" t="s">
        <v>50</v>
      </c>
      <c r="J42" s="1" t="s">
        <v>53</v>
      </c>
      <c r="K42" s="1" t="s">
        <v>54</v>
      </c>
      <c r="L42" s="1">
        <v>6.8</v>
      </c>
      <c r="M42" s="1">
        <v>309.5</v>
      </c>
      <c r="N42" s="1">
        <v>3.26</v>
      </c>
      <c r="O42" s="1">
        <v>96</v>
      </c>
      <c r="P42" s="1">
        <v>1215</v>
      </c>
      <c r="Q42" s="1">
        <v>151.9</v>
      </c>
      <c r="R42" s="1">
        <v>108</v>
      </c>
      <c r="S42" s="1">
        <v>226</v>
      </c>
      <c r="T42" s="1">
        <v>11.7</v>
      </c>
      <c r="U42" s="1">
        <v>4</v>
      </c>
    </row>
    <row r="43" spans="1:21" x14ac:dyDescent="0.35">
      <c r="A43" s="1">
        <v>42</v>
      </c>
      <c r="B43" s="1">
        <v>4453</v>
      </c>
      <c r="C43" s="1" t="s">
        <v>52</v>
      </c>
      <c r="D43" s="1" t="s">
        <v>26</v>
      </c>
      <c r="E43" s="2">
        <v>33.694729637234772</v>
      </c>
      <c r="F43" s="2" t="str" cm="1">
        <f t="array" ref="F43">_xlfn.IFS(E43&lt;25,"Under 25",E43&lt;40,"Young Adulthood",E43&lt;60,"Middle Adulthood",E43&gt;=60,"Older Adulthood")</f>
        <v>Young Adulthood</v>
      </c>
      <c r="G43" s="1" t="s">
        <v>23</v>
      </c>
      <c r="H43" s="1" t="s">
        <v>53</v>
      </c>
      <c r="I43" s="1" t="s">
        <v>50</v>
      </c>
      <c r="J43" s="1" t="s">
        <v>50</v>
      </c>
      <c r="K43" s="1" t="s">
        <v>54</v>
      </c>
      <c r="L43" s="1">
        <v>2.1</v>
      </c>
      <c r="M43" s="1">
        <v>309.5</v>
      </c>
      <c r="N43" s="1">
        <v>3.54</v>
      </c>
      <c r="O43" s="1">
        <v>122</v>
      </c>
      <c r="P43" s="1">
        <v>8778</v>
      </c>
      <c r="Q43" s="1">
        <v>56.76</v>
      </c>
      <c r="R43" s="1">
        <v>108</v>
      </c>
      <c r="S43" s="1">
        <v>344</v>
      </c>
      <c r="T43" s="1">
        <v>11</v>
      </c>
      <c r="U43" s="1">
        <v>4</v>
      </c>
    </row>
    <row r="44" spans="1:21" x14ac:dyDescent="0.35">
      <c r="A44" s="1">
        <v>43</v>
      </c>
      <c r="B44" s="1">
        <v>4556</v>
      </c>
      <c r="C44" s="1" t="s">
        <v>52</v>
      </c>
      <c r="D44" s="1" t="s">
        <v>21</v>
      </c>
      <c r="E44" s="2">
        <v>48.870636550308006</v>
      </c>
      <c r="F44" s="2" t="str" cm="1">
        <f t="array" ref="F44">_xlfn.IFS(E44&lt;25,"Under 25",E44&lt;40,"Young Adulthood",E44&lt;60,"Middle Adulthood",E44&gt;=60,"Older Adulthood")</f>
        <v>Middle Adulthood</v>
      </c>
      <c r="G44" s="1" t="s">
        <v>23</v>
      </c>
      <c r="H44" s="1" t="s">
        <v>53</v>
      </c>
      <c r="I44" s="1" t="s">
        <v>53</v>
      </c>
      <c r="J44" s="1" t="s">
        <v>53</v>
      </c>
      <c r="K44" s="1" t="s">
        <v>54</v>
      </c>
      <c r="L44" s="1">
        <v>1.1000000000000001</v>
      </c>
      <c r="M44" s="1">
        <v>361</v>
      </c>
      <c r="N44" s="1">
        <v>3.64</v>
      </c>
      <c r="O44" s="1">
        <v>36</v>
      </c>
      <c r="P44" s="1">
        <v>5430.2</v>
      </c>
      <c r="Q44" s="1">
        <v>67.08</v>
      </c>
      <c r="R44" s="1">
        <v>89</v>
      </c>
      <c r="S44" s="1">
        <v>203</v>
      </c>
      <c r="T44" s="1">
        <v>10.6</v>
      </c>
      <c r="U44" s="1">
        <v>2</v>
      </c>
    </row>
    <row r="45" spans="1:21" x14ac:dyDescent="0.35">
      <c r="A45" s="1">
        <v>44</v>
      </c>
      <c r="B45" s="1">
        <v>3428</v>
      </c>
      <c r="C45" s="1" t="s">
        <v>49</v>
      </c>
      <c r="D45" s="1" t="s">
        <v>26</v>
      </c>
      <c r="E45" s="2">
        <v>37.582477754962355</v>
      </c>
      <c r="F45" s="2" t="str" cm="1">
        <f t="array" ref="F45">_xlfn.IFS(E45&lt;25,"Under 25",E45&lt;40,"Young Adulthood",E45&lt;60,"Middle Adulthood",E45&gt;=60,"Older Adulthood")</f>
        <v>Young Adulthood</v>
      </c>
      <c r="G45" s="1" t="s">
        <v>23</v>
      </c>
      <c r="H45" s="1" t="s">
        <v>53</v>
      </c>
      <c r="I45" s="1" t="s">
        <v>50</v>
      </c>
      <c r="J45" s="1" t="s">
        <v>50</v>
      </c>
      <c r="K45" s="1" t="s">
        <v>51</v>
      </c>
      <c r="L45" s="1">
        <v>3.3</v>
      </c>
      <c r="M45" s="1">
        <v>299</v>
      </c>
      <c r="N45" s="1">
        <v>3.55</v>
      </c>
      <c r="O45" s="1">
        <v>131</v>
      </c>
      <c r="P45" s="1">
        <v>1029</v>
      </c>
      <c r="Q45" s="1">
        <v>119.35</v>
      </c>
      <c r="R45" s="1">
        <v>50</v>
      </c>
      <c r="S45" s="1">
        <v>199</v>
      </c>
      <c r="T45" s="1">
        <v>11.7</v>
      </c>
      <c r="U45" s="1">
        <v>3</v>
      </c>
    </row>
    <row r="46" spans="1:21" x14ac:dyDescent="0.35">
      <c r="A46" s="1">
        <v>45</v>
      </c>
      <c r="B46" s="1">
        <v>4025</v>
      </c>
      <c r="C46" s="1" t="s">
        <v>52</v>
      </c>
      <c r="D46" s="1" t="s">
        <v>26</v>
      </c>
      <c r="E46" s="2">
        <v>41.793292265571523</v>
      </c>
      <c r="F46" s="2" t="str" cm="1">
        <f t="array" ref="F46">_xlfn.IFS(E46&lt;25,"Under 25",E46&lt;40,"Young Adulthood",E46&lt;60,"Middle Adulthood",E46&gt;=60,"Older Adulthood")</f>
        <v>Middle Adulthood</v>
      </c>
      <c r="G46" s="1" t="s">
        <v>23</v>
      </c>
      <c r="H46" s="1" t="s">
        <v>53</v>
      </c>
      <c r="I46" s="1" t="s">
        <v>53</v>
      </c>
      <c r="J46" s="1" t="s">
        <v>53</v>
      </c>
      <c r="K46" s="1" t="s">
        <v>54</v>
      </c>
      <c r="L46" s="1">
        <v>0.6</v>
      </c>
      <c r="M46" s="1">
        <v>309.5</v>
      </c>
      <c r="N46" s="1">
        <v>3.93</v>
      </c>
      <c r="O46" s="1">
        <v>19</v>
      </c>
      <c r="P46" s="1">
        <v>1826</v>
      </c>
      <c r="Q46" s="1">
        <v>71.3</v>
      </c>
      <c r="R46" s="1">
        <v>108</v>
      </c>
      <c r="S46" s="1">
        <v>474</v>
      </c>
      <c r="T46" s="1">
        <v>10.9</v>
      </c>
      <c r="U46" s="1">
        <v>2</v>
      </c>
    </row>
    <row r="47" spans="1:21" x14ac:dyDescent="0.35">
      <c r="A47" s="1">
        <v>46</v>
      </c>
      <c r="B47" s="1">
        <v>2256</v>
      </c>
      <c r="C47" s="1" t="s">
        <v>49</v>
      </c>
      <c r="D47" s="1" t="s">
        <v>21</v>
      </c>
      <c r="E47" s="2">
        <v>45.798767967145793</v>
      </c>
      <c r="F47" s="2" t="str" cm="1">
        <f t="array" ref="F47">_xlfn.IFS(E47&lt;25,"Under 25",E47&lt;40,"Young Adulthood",E47&lt;60,"Middle Adulthood",E47&gt;=60,"Older Adulthood")</f>
        <v>Middle Adulthood</v>
      </c>
      <c r="G47" s="1" t="s">
        <v>23</v>
      </c>
      <c r="H47" s="1" t="s">
        <v>53</v>
      </c>
      <c r="I47" s="1" t="s">
        <v>50</v>
      </c>
      <c r="J47" s="1" t="s">
        <v>53</v>
      </c>
      <c r="K47" s="1" t="s">
        <v>54</v>
      </c>
      <c r="L47" s="1">
        <v>5.7</v>
      </c>
      <c r="M47" s="1">
        <v>482</v>
      </c>
      <c r="N47" s="1">
        <v>2.84</v>
      </c>
      <c r="O47" s="1">
        <v>161</v>
      </c>
      <c r="P47" s="1">
        <v>11552</v>
      </c>
      <c r="Q47" s="1">
        <v>136.74</v>
      </c>
      <c r="R47" s="1">
        <v>165</v>
      </c>
      <c r="S47" s="1">
        <v>518</v>
      </c>
      <c r="T47" s="1">
        <v>12.7</v>
      </c>
      <c r="U47" s="1">
        <v>3</v>
      </c>
    </row>
    <row r="48" spans="1:21" x14ac:dyDescent="0.35">
      <c r="A48" s="1">
        <v>47</v>
      </c>
      <c r="B48" s="1">
        <v>2576</v>
      </c>
      <c r="C48" s="1" t="s">
        <v>52</v>
      </c>
      <c r="D48" s="1" t="s">
        <v>26</v>
      </c>
      <c r="E48" s="2">
        <v>47.427789185489388</v>
      </c>
      <c r="F48" s="2" t="str" cm="1">
        <f t="array" ref="F48">_xlfn.IFS(E48&lt;25,"Under 25",E48&lt;40,"Young Adulthood",E48&lt;60,"Middle Adulthood",E48&gt;=60,"Older Adulthood")</f>
        <v>Middle Adulthood</v>
      </c>
      <c r="G48" s="1" t="s">
        <v>23</v>
      </c>
      <c r="H48" s="1" t="s">
        <v>53</v>
      </c>
      <c r="I48" s="1" t="s">
        <v>53</v>
      </c>
      <c r="J48" s="1" t="s">
        <v>53</v>
      </c>
      <c r="K48" s="1" t="s">
        <v>54</v>
      </c>
      <c r="L48" s="1">
        <v>0.5</v>
      </c>
      <c r="M48" s="1">
        <v>316</v>
      </c>
      <c r="N48" s="1">
        <v>3.65</v>
      </c>
      <c r="O48" s="1">
        <v>68</v>
      </c>
      <c r="P48" s="1">
        <v>1716</v>
      </c>
      <c r="Q48" s="1">
        <v>187.55</v>
      </c>
      <c r="R48" s="1">
        <v>71</v>
      </c>
      <c r="S48" s="1">
        <v>356</v>
      </c>
      <c r="T48" s="1">
        <v>9.8000000000000007</v>
      </c>
      <c r="U48" s="1">
        <v>3</v>
      </c>
    </row>
    <row r="49" spans="1:21" x14ac:dyDescent="0.35">
      <c r="A49" s="1">
        <v>48</v>
      </c>
      <c r="B49" s="1">
        <v>4427</v>
      </c>
      <c r="C49" s="1" t="s">
        <v>52</v>
      </c>
      <c r="D49" s="1" t="s">
        <v>26</v>
      </c>
      <c r="E49" s="2">
        <v>49.13620807665982</v>
      </c>
      <c r="F49" s="2" t="str" cm="1">
        <f t="array" ref="F49">_xlfn.IFS(E49&lt;25,"Under 25",E49&lt;40,"Young Adulthood",E49&lt;60,"Middle Adulthood",E49&gt;=60,"Older Adulthood")</f>
        <v>Middle Adulthood</v>
      </c>
      <c r="G49" s="1" t="s">
        <v>25</v>
      </c>
      <c r="H49" s="1" t="s">
        <v>53</v>
      </c>
      <c r="I49" s="1" t="s">
        <v>53</v>
      </c>
      <c r="J49" s="1" t="s">
        <v>53</v>
      </c>
      <c r="K49" s="1" t="s">
        <v>54</v>
      </c>
      <c r="L49" s="1">
        <v>1.9</v>
      </c>
      <c r="M49" s="1">
        <v>259</v>
      </c>
      <c r="N49" s="1">
        <v>3.7</v>
      </c>
      <c r="O49" s="1">
        <v>281</v>
      </c>
      <c r="P49" s="1">
        <v>10396.799999999999</v>
      </c>
      <c r="Q49" s="1">
        <v>188.34</v>
      </c>
      <c r="R49" s="1">
        <v>178</v>
      </c>
      <c r="S49" s="1">
        <v>214</v>
      </c>
      <c r="T49" s="1">
        <v>11</v>
      </c>
      <c r="U49" s="1">
        <v>3</v>
      </c>
    </row>
    <row r="50" spans="1:21" x14ac:dyDescent="0.35">
      <c r="A50" s="1">
        <v>49</v>
      </c>
      <c r="B50" s="1">
        <v>708</v>
      </c>
      <c r="C50" s="1" t="s">
        <v>49</v>
      </c>
      <c r="D50" s="1" t="s">
        <v>26</v>
      </c>
      <c r="E50" s="2">
        <v>61.152635181382614</v>
      </c>
      <c r="F50" s="2" t="str" cm="1">
        <f t="array" ref="F50">_xlfn.IFS(E50&lt;25,"Under 25",E50&lt;40,"Young Adulthood",E50&lt;60,"Middle Adulthood",E50&gt;=60,"Older Adulthood")</f>
        <v>Older Adulthood</v>
      </c>
      <c r="G50" s="1" t="s">
        <v>23</v>
      </c>
      <c r="H50" s="1" t="s">
        <v>53</v>
      </c>
      <c r="I50" s="1" t="s">
        <v>50</v>
      </c>
      <c r="J50" s="1" t="s">
        <v>53</v>
      </c>
      <c r="K50" s="1" t="s">
        <v>54</v>
      </c>
      <c r="L50" s="1">
        <v>0.8</v>
      </c>
      <c r="M50" s="1">
        <v>309.5</v>
      </c>
      <c r="N50" s="1">
        <v>3.82</v>
      </c>
      <c r="O50" s="1">
        <v>58</v>
      </c>
      <c r="P50" s="1">
        <v>678</v>
      </c>
      <c r="Q50" s="1">
        <v>97.65</v>
      </c>
      <c r="R50" s="1">
        <v>108</v>
      </c>
      <c r="S50" s="1">
        <v>233</v>
      </c>
      <c r="T50" s="1">
        <v>11</v>
      </c>
      <c r="U50" s="1">
        <v>4</v>
      </c>
    </row>
    <row r="51" spans="1:21" x14ac:dyDescent="0.35">
      <c r="A51" s="1">
        <v>50</v>
      </c>
      <c r="B51" s="1">
        <v>2598</v>
      </c>
      <c r="C51" s="1" t="s">
        <v>49</v>
      </c>
      <c r="D51" s="1" t="s">
        <v>21</v>
      </c>
      <c r="E51" s="2">
        <v>53.508555783709788</v>
      </c>
      <c r="F51" s="2" t="str" cm="1">
        <f t="array" ref="F51">_xlfn.IFS(E51&lt;25,"Under 25",E51&lt;40,"Young Adulthood",E51&lt;60,"Middle Adulthood",E51&gt;=60,"Older Adulthood")</f>
        <v>Middle Adulthood</v>
      </c>
      <c r="G51" s="1" t="s">
        <v>23</v>
      </c>
      <c r="H51" s="1" t="s">
        <v>53</v>
      </c>
      <c r="I51" s="1" t="s">
        <v>50</v>
      </c>
      <c r="J51" s="1" t="s">
        <v>53</v>
      </c>
      <c r="K51" s="1" t="s">
        <v>54</v>
      </c>
      <c r="L51" s="1">
        <v>1.1000000000000001</v>
      </c>
      <c r="M51" s="1">
        <v>257</v>
      </c>
      <c r="N51" s="1">
        <v>3.36</v>
      </c>
      <c r="O51" s="1">
        <v>43</v>
      </c>
      <c r="P51" s="1">
        <v>1080</v>
      </c>
      <c r="Q51" s="1">
        <v>106.95</v>
      </c>
      <c r="R51" s="1">
        <v>73</v>
      </c>
      <c r="S51" s="1">
        <v>128</v>
      </c>
      <c r="T51" s="1">
        <v>10.6</v>
      </c>
      <c r="U51" s="1">
        <v>4</v>
      </c>
    </row>
    <row r="52" spans="1:21" x14ac:dyDescent="0.35">
      <c r="A52" s="1">
        <v>51</v>
      </c>
      <c r="B52" s="1">
        <v>3853</v>
      </c>
      <c r="C52" s="1" t="s">
        <v>49</v>
      </c>
      <c r="D52" s="1" t="s">
        <v>26</v>
      </c>
      <c r="E52" s="2">
        <v>52.087611225188226</v>
      </c>
      <c r="F52" s="2" t="str" cm="1">
        <f t="array" ref="F52">_xlfn.IFS(E52&lt;25,"Under 25",E52&lt;40,"Young Adulthood",E52&lt;60,"Middle Adulthood",E52&gt;=60,"Older Adulthood")</f>
        <v>Middle Adulthood</v>
      </c>
      <c r="G52" s="1" t="s">
        <v>23</v>
      </c>
      <c r="H52" s="1" t="s">
        <v>53</v>
      </c>
      <c r="I52" s="1" t="s">
        <v>53</v>
      </c>
      <c r="J52" s="1" t="s">
        <v>53</v>
      </c>
      <c r="K52" s="1" t="s">
        <v>54</v>
      </c>
      <c r="L52" s="1">
        <v>0.8</v>
      </c>
      <c r="M52" s="1">
        <v>276</v>
      </c>
      <c r="N52" s="1">
        <v>3.6</v>
      </c>
      <c r="O52" s="1">
        <v>54</v>
      </c>
      <c r="P52" s="1">
        <v>4332</v>
      </c>
      <c r="Q52" s="1">
        <v>99.33</v>
      </c>
      <c r="R52" s="1">
        <v>143</v>
      </c>
      <c r="S52" s="1">
        <v>273</v>
      </c>
      <c r="T52" s="1">
        <v>10.6</v>
      </c>
      <c r="U52" s="1">
        <v>2</v>
      </c>
    </row>
    <row r="53" spans="1:21" x14ac:dyDescent="0.35">
      <c r="A53" s="1">
        <v>52</v>
      </c>
      <c r="B53" s="1">
        <v>2386</v>
      </c>
      <c r="C53" s="1" t="s">
        <v>49</v>
      </c>
      <c r="D53" s="1" t="s">
        <v>21</v>
      </c>
      <c r="E53" s="2">
        <v>50.540725530458587</v>
      </c>
      <c r="F53" s="2" t="str" cm="1">
        <f t="array" ref="F53">_xlfn.IFS(E53&lt;25,"Under 25",E53&lt;40,"Young Adulthood",E53&lt;60,"Middle Adulthood",E53&gt;=60,"Older Adulthood")</f>
        <v>Middle Adulthood</v>
      </c>
      <c r="G53" s="1" t="s">
        <v>25</v>
      </c>
      <c r="H53" s="1" t="s">
        <v>53</v>
      </c>
      <c r="I53" s="1" t="s">
        <v>53</v>
      </c>
      <c r="J53" s="1" t="s">
        <v>53</v>
      </c>
      <c r="K53" s="1" t="s">
        <v>54</v>
      </c>
      <c r="L53" s="1">
        <v>6</v>
      </c>
      <c r="M53" s="1">
        <v>614</v>
      </c>
      <c r="N53" s="1">
        <v>3.7</v>
      </c>
      <c r="O53" s="1">
        <v>158</v>
      </c>
      <c r="P53" s="1">
        <v>5084.3999999999996</v>
      </c>
      <c r="Q53" s="1">
        <v>206.4</v>
      </c>
      <c r="R53" s="1">
        <v>93</v>
      </c>
      <c r="S53" s="1">
        <v>362</v>
      </c>
      <c r="T53" s="1">
        <v>10.6</v>
      </c>
      <c r="U53" s="1">
        <v>1</v>
      </c>
    </row>
    <row r="54" spans="1:21" x14ac:dyDescent="0.35">
      <c r="A54" s="1">
        <v>53</v>
      </c>
      <c r="B54" s="1">
        <v>1000</v>
      </c>
      <c r="C54" s="1" t="s">
        <v>49</v>
      </c>
      <c r="D54" s="1" t="s">
        <v>21</v>
      </c>
      <c r="E54" s="2">
        <v>67.408624229979466</v>
      </c>
      <c r="F54" s="2" t="str" cm="1">
        <f t="array" ref="F54">_xlfn.IFS(E54&lt;25,"Under 25",E54&lt;40,"Young Adulthood",E54&lt;60,"Middle Adulthood",E54&gt;=60,"Older Adulthood")</f>
        <v>Older Adulthood</v>
      </c>
      <c r="G54" s="1" t="s">
        <v>23</v>
      </c>
      <c r="H54" s="1" t="s">
        <v>53</v>
      </c>
      <c r="I54" s="1" t="s">
        <v>50</v>
      </c>
      <c r="J54" s="1" t="s">
        <v>53</v>
      </c>
      <c r="K54" s="1" t="s">
        <v>54</v>
      </c>
      <c r="L54" s="1">
        <v>2.6</v>
      </c>
      <c r="M54" s="1">
        <v>309.5</v>
      </c>
      <c r="N54" s="1">
        <v>3.1</v>
      </c>
      <c r="O54" s="1">
        <v>94</v>
      </c>
      <c r="P54" s="1">
        <v>6456.2</v>
      </c>
      <c r="Q54" s="1">
        <v>56.76</v>
      </c>
      <c r="R54" s="1">
        <v>108</v>
      </c>
      <c r="S54" s="1">
        <v>214</v>
      </c>
      <c r="T54" s="1">
        <v>11</v>
      </c>
      <c r="U54" s="1">
        <v>4</v>
      </c>
    </row>
    <row r="55" spans="1:21" x14ac:dyDescent="0.35">
      <c r="A55" s="1">
        <v>54</v>
      </c>
      <c r="B55" s="1">
        <v>1434</v>
      </c>
      <c r="C55" s="1" t="s">
        <v>49</v>
      </c>
      <c r="D55" s="1" t="s">
        <v>21</v>
      </c>
      <c r="E55" s="2">
        <v>39.197809719370291</v>
      </c>
      <c r="F55" s="2" t="str" cm="1">
        <f t="array" ref="F55">_xlfn.IFS(E55&lt;25,"Under 25",E55&lt;40,"Young Adulthood",E55&lt;60,"Middle Adulthood",E55&gt;=60,"Older Adulthood")</f>
        <v>Young Adulthood</v>
      </c>
      <c r="G55" s="1" t="s">
        <v>23</v>
      </c>
      <c r="H55" s="1" t="s">
        <v>50</v>
      </c>
      <c r="I55" s="1" t="s">
        <v>50</v>
      </c>
      <c r="J55" s="1" t="s">
        <v>50</v>
      </c>
      <c r="K55" s="1" t="s">
        <v>51</v>
      </c>
      <c r="L55" s="1">
        <v>1.3</v>
      </c>
      <c r="M55" s="1">
        <v>288</v>
      </c>
      <c r="N55" s="1">
        <v>3.4</v>
      </c>
      <c r="O55" s="1">
        <v>262</v>
      </c>
      <c r="P55" s="1">
        <v>5487.2</v>
      </c>
      <c r="Q55" s="1">
        <v>73.53</v>
      </c>
      <c r="R55" s="1">
        <v>125</v>
      </c>
      <c r="S55" s="1">
        <v>254</v>
      </c>
      <c r="T55" s="1">
        <v>11</v>
      </c>
      <c r="U55" s="1">
        <v>4</v>
      </c>
    </row>
    <row r="56" spans="1:21" x14ac:dyDescent="0.35">
      <c r="A56" s="1">
        <v>55</v>
      </c>
      <c r="B56" s="1">
        <v>1360</v>
      </c>
      <c r="C56" s="1" t="s">
        <v>49</v>
      </c>
      <c r="D56" s="1" t="s">
        <v>21</v>
      </c>
      <c r="E56" s="2">
        <v>65.763175906913077</v>
      </c>
      <c r="F56" s="2" t="str" cm="1">
        <f t="array" ref="F56">_xlfn.IFS(E56&lt;25,"Under 25",E56&lt;40,"Young Adulthood",E56&lt;60,"Middle Adulthood",E56&gt;=60,"Older Adulthood")</f>
        <v>Older Adulthood</v>
      </c>
      <c r="G56" s="1" t="s">
        <v>25</v>
      </c>
      <c r="H56" s="1" t="s">
        <v>53</v>
      </c>
      <c r="I56" s="1" t="s">
        <v>53</v>
      </c>
      <c r="J56" s="1" t="s">
        <v>53</v>
      </c>
      <c r="K56" s="1" t="s">
        <v>54</v>
      </c>
      <c r="L56" s="1">
        <v>1.8</v>
      </c>
      <c r="M56" s="1">
        <v>416</v>
      </c>
      <c r="N56" s="1">
        <v>3.94</v>
      </c>
      <c r="O56" s="1">
        <v>121</v>
      </c>
      <c r="P56" s="1">
        <v>10165</v>
      </c>
      <c r="Q56" s="1">
        <v>79.98</v>
      </c>
      <c r="R56" s="1">
        <v>219</v>
      </c>
      <c r="S56" s="1">
        <v>213</v>
      </c>
      <c r="T56" s="1">
        <v>11</v>
      </c>
      <c r="U56" s="1">
        <v>3</v>
      </c>
    </row>
    <row r="57" spans="1:21" x14ac:dyDescent="0.35">
      <c r="A57" s="1">
        <v>56</v>
      </c>
      <c r="B57" s="1">
        <v>1847</v>
      </c>
      <c r="C57" s="1" t="s">
        <v>49</v>
      </c>
      <c r="D57" s="1" t="s">
        <v>26</v>
      </c>
      <c r="E57" s="2">
        <v>33.618069815195071</v>
      </c>
      <c r="F57" s="2" t="str" cm="1">
        <f t="array" ref="F57">_xlfn.IFS(E57&lt;25,"Under 25",E57&lt;40,"Young Adulthood",E57&lt;60,"Middle Adulthood",E57&gt;=60,"Older Adulthood")</f>
        <v>Young Adulthood</v>
      </c>
      <c r="G57" s="1" t="s">
        <v>23</v>
      </c>
      <c r="H57" s="1" t="s">
        <v>53</v>
      </c>
      <c r="I57" s="1" t="s">
        <v>50</v>
      </c>
      <c r="J57" s="1" t="s">
        <v>50</v>
      </c>
      <c r="K57" s="1" t="s">
        <v>54</v>
      </c>
      <c r="L57" s="1">
        <v>1.1000000000000001</v>
      </c>
      <c r="M57" s="1">
        <v>498</v>
      </c>
      <c r="N57" s="1">
        <v>3.8</v>
      </c>
      <c r="O57" s="1">
        <v>88</v>
      </c>
      <c r="P57" s="1">
        <v>13862.4</v>
      </c>
      <c r="Q57" s="1">
        <v>95.46</v>
      </c>
      <c r="R57" s="1">
        <v>319</v>
      </c>
      <c r="S57" s="1">
        <v>365</v>
      </c>
      <c r="T57" s="1">
        <v>10.6</v>
      </c>
      <c r="U57" s="1">
        <v>2</v>
      </c>
    </row>
    <row r="58" spans="1:21" x14ac:dyDescent="0.35">
      <c r="A58" s="1">
        <v>57</v>
      </c>
      <c r="B58" s="1">
        <v>3282</v>
      </c>
      <c r="C58" s="1" t="s">
        <v>49</v>
      </c>
      <c r="D58" s="1" t="s">
        <v>21</v>
      </c>
      <c r="E58" s="2">
        <v>53.571526351813823</v>
      </c>
      <c r="F58" s="2" t="str" cm="1">
        <f t="array" ref="F58">_xlfn.IFS(E58&lt;25,"Under 25",E58&lt;40,"Young Adulthood",E58&lt;60,"Middle Adulthood",E58&gt;=60,"Older Adulthood")</f>
        <v>Middle Adulthood</v>
      </c>
      <c r="G58" s="1" t="s">
        <v>23</v>
      </c>
      <c r="H58" s="1" t="s">
        <v>53</v>
      </c>
      <c r="I58" s="1" t="s">
        <v>50</v>
      </c>
      <c r="J58" s="1" t="s">
        <v>53</v>
      </c>
      <c r="K58" s="1" t="s">
        <v>55</v>
      </c>
      <c r="L58" s="1">
        <v>2.2999999999999998</v>
      </c>
      <c r="M58" s="1">
        <v>260</v>
      </c>
      <c r="N58" s="1">
        <v>3.18</v>
      </c>
      <c r="O58" s="1">
        <v>231</v>
      </c>
      <c r="P58" s="1">
        <v>11320.2</v>
      </c>
      <c r="Q58" s="1">
        <v>105.78</v>
      </c>
      <c r="R58" s="1">
        <v>94</v>
      </c>
      <c r="S58" s="1">
        <v>216</v>
      </c>
      <c r="T58" s="1">
        <v>12.4</v>
      </c>
      <c r="U58" s="1">
        <v>3</v>
      </c>
    </row>
    <row r="59" spans="1:21" x14ac:dyDescent="0.35">
      <c r="A59" s="1">
        <v>58</v>
      </c>
      <c r="B59" s="1">
        <v>4459</v>
      </c>
      <c r="C59" s="1" t="s">
        <v>52</v>
      </c>
      <c r="D59" s="1" t="s">
        <v>21</v>
      </c>
      <c r="E59" s="2">
        <v>44.569472963723477</v>
      </c>
      <c r="F59" s="2" t="str" cm="1">
        <f t="array" ref="F59">_xlfn.IFS(E59&lt;25,"Under 25",E59&lt;40,"Young Adulthood",E59&lt;60,"Middle Adulthood",E59&gt;=60,"Older Adulthood")</f>
        <v>Middle Adulthood</v>
      </c>
      <c r="G59" s="1" t="s">
        <v>25</v>
      </c>
      <c r="H59" s="1" t="s">
        <v>53</v>
      </c>
      <c r="I59" s="1" t="s">
        <v>53</v>
      </c>
      <c r="J59" s="1" t="s">
        <v>53</v>
      </c>
      <c r="K59" s="1" t="s">
        <v>54</v>
      </c>
      <c r="L59" s="1">
        <v>0.7</v>
      </c>
      <c r="M59" s="1">
        <v>242</v>
      </c>
      <c r="N59" s="1">
        <v>4.08</v>
      </c>
      <c r="O59" s="1">
        <v>73</v>
      </c>
      <c r="P59" s="1">
        <v>5890</v>
      </c>
      <c r="Q59" s="1">
        <v>56.76</v>
      </c>
      <c r="R59" s="1">
        <v>118</v>
      </c>
      <c r="S59" s="1">
        <v>251</v>
      </c>
      <c r="T59" s="1">
        <v>10.6</v>
      </c>
      <c r="U59" s="1">
        <v>1</v>
      </c>
    </row>
    <row r="60" spans="1:21" x14ac:dyDescent="0.35">
      <c r="A60" s="1">
        <v>59</v>
      </c>
      <c r="B60" s="1">
        <v>2224</v>
      </c>
      <c r="C60" s="1" t="s">
        <v>49</v>
      </c>
      <c r="D60" s="1" t="s">
        <v>21</v>
      </c>
      <c r="E60" s="2">
        <v>40.394250513347025</v>
      </c>
      <c r="F60" s="2" t="str" cm="1">
        <f t="array" ref="F60">_xlfn.IFS(E60&lt;25,"Under 25",E60&lt;40,"Young Adulthood",E60&lt;60,"Middle Adulthood",E60&gt;=60,"Older Adulthood")</f>
        <v>Middle Adulthood</v>
      </c>
      <c r="G60" s="1" t="s">
        <v>23</v>
      </c>
      <c r="H60" s="1" t="s">
        <v>53</v>
      </c>
      <c r="I60" s="1" t="s">
        <v>50</v>
      </c>
      <c r="J60" s="1" t="s">
        <v>50</v>
      </c>
      <c r="K60" s="1" t="s">
        <v>54</v>
      </c>
      <c r="L60" s="1">
        <v>0.8</v>
      </c>
      <c r="M60" s="1">
        <v>329</v>
      </c>
      <c r="N60" s="1">
        <v>3.5</v>
      </c>
      <c r="O60" s="1">
        <v>49</v>
      </c>
      <c r="P60" s="1">
        <v>7622.8</v>
      </c>
      <c r="Q60" s="1">
        <v>126.42</v>
      </c>
      <c r="R60" s="1">
        <v>124</v>
      </c>
      <c r="S60" s="1">
        <v>321</v>
      </c>
      <c r="T60" s="1">
        <v>10.6</v>
      </c>
      <c r="U60" s="1">
        <v>3</v>
      </c>
    </row>
    <row r="61" spans="1:21" x14ac:dyDescent="0.35">
      <c r="A61" s="1">
        <v>60</v>
      </c>
      <c r="B61" s="1">
        <v>4365</v>
      </c>
      <c r="C61" s="1" t="s">
        <v>52</v>
      </c>
      <c r="D61" s="1" t="s">
        <v>21</v>
      </c>
      <c r="E61" s="2">
        <v>58.381930184804929</v>
      </c>
      <c r="F61" s="2" t="str" cm="1">
        <f t="array" ref="F61">_xlfn.IFS(E61&lt;25,"Under 25",E61&lt;40,"Young Adulthood",E61&lt;60,"Middle Adulthood",E61&gt;=60,"Older Adulthood")</f>
        <v>Middle Adulthood</v>
      </c>
      <c r="G61" s="1" t="s">
        <v>23</v>
      </c>
      <c r="H61" s="1" t="s">
        <v>53</v>
      </c>
      <c r="I61" s="1" t="s">
        <v>53</v>
      </c>
      <c r="J61" s="1" t="s">
        <v>53</v>
      </c>
      <c r="K61" s="1" t="s">
        <v>54</v>
      </c>
      <c r="L61" s="1">
        <v>0.9</v>
      </c>
      <c r="M61" s="1">
        <v>604</v>
      </c>
      <c r="N61" s="1">
        <v>3.4</v>
      </c>
      <c r="O61" s="1">
        <v>82</v>
      </c>
      <c r="P61" s="1">
        <v>876</v>
      </c>
      <c r="Q61" s="1">
        <v>71.3</v>
      </c>
      <c r="R61" s="1">
        <v>58</v>
      </c>
      <c r="S61" s="1">
        <v>228</v>
      </c>
      <c r="T61" s="1">
        <v>10.3</v>
      </c>
      <c r="U61" s="1">
        <v>3</v>
      </c>
    </row>
    <row r="62" spans="1:21" x14ac:dyDescent="0.35">
      <c r="A62" s="1">
        <v>61</v>
      </c>
      <c r="B62" s="1">
        <v>4256</v>
      </c>
      <c r="C62" s="1" t="s">
        <v>52</v>
      </c>
      <c r="D62" s="1" t="s">
        <v>26</v>
      </c>
      <c r="E62" s="2">
        <v>43.898699520876114</v>
      </c>
      <c r="F62" s="2" t="str" cm="1">
        <f t="array" ref="F62">_xlfn.IFS(E62&lt;25,"Under 25",E62&lt;40,"Young Adulthood",E62&lt;60,"Middle Adulthood",E62&gt;=60,"Older Adulthood")</f>
        <v>Middle Adulthood</v>
      </c>
      <c r="G62" s="1" t="s">
        <v>25</v>
      </c>
      <c r="H62" s="1" t="s">
        <v>53</v>
      </c>
      <c r="I62" s="1" t="s">
        <v>53</v>
      </c>
      <c r="J62" s="1" t="s">
        <v>53</v>
      </c>
      <c r="K62" s="1" t="s">
        <v>54</v>
      </c>
      <c r="L62" s="1">
        <v>0.6</v>
      </c>
      <c r="M62" s="1">
        <v>216</v>
      </c>
      <c r="N62" s="1">
        <v>3.94</v>
      </c>
      <c r="O62" s="1">
        <v>28</v>
      </c>
      <c r="P62" s="1">
        <v>601</v>
      </c>
      <c r="Q62" s="1">
        <v>60.45</v>
      </c>
      <c r="R62" s="1">
        <v>188</v>
      </c>
      <c r="S62" s="1">
        <v>211</v>
      </c>
      <c r="T62" s="1">
        <v>13</v>
      </c>
      <c r="U62" s="1">
        <v>1</v>
      </c>
    </row>
    <row r="63" spans="1:21" x14ac:dyDescent="0.35">
      <c r="A63" s="1">
        <v>62</v>
      </c>
      <c r="B63" s="1">
        <v>3090</v>
      </c>
      <c r="C63" s="1" t="s">
        <v>49</v>
      </c>
      <c r="D63" s="1" t="s">
        <v>26</v>
      </c>
      <c r="E63" s="2">
        <v>60.706365503080079</v>
      </c>
      <c r="F63" s="2" t="str" cm="1">
        <f t="array" ref="F63">_xlfn.IFS(E63&lt;25,"Under 25",E63&lt;40,"Young Adulthood",E63&lt;60,"Middle Adulthood",E63&gt;=60,"Older Adulthood")</f>
        <v>Older Adulthood</v>
      </c>
      <c r="G63" s="1" t="s">
        <v>23</v>
      </c>
      <c r="H63" s="1" t="s">
        <v>50</v>
      </c>
      <c r="I63" s="1" t="s">
        <v>53</v>
      </c>
      <c r="J63" s="1" t="s">
        <v>53</v>
      </c>
      <c r="K63" s="1" t="s">
        <v>54</v>
      </c>
      <c r="L63" s="1">
        <v>1.3</v>
      </c>
      <c r="M63" s="1">
        <v>302</v>
      </c>
      <c r="N63" s="1">
        <v>2.75</v>
      </c>
      <c r="O63" s="1">
        <v>58</v>
      </c>
      <c r="P63" s="1">
        <v>1523</v>
      </c>
      <c r="Q63" s="1">
        <v>43.4</v>
      </c>
      <c r="R63" s="1">
        <v>112</v>
      </c>
      <c r="S63" s="1">
        <v>329</v>
      </c>
      <c r="T63" s="1">
        <v>13.2</v>
      </c>
      <c r="U63" s="1">
        <v>4</v>
      </c>
    </row>
    <row r="64" spans="1:21" x14ac:dyDescent="0.35">
      <c r="A64" s="1">
        <v>63</v>
      </c>
      <c r="B64" s="1">
        <v>859</v>
      </c>
      <c r="C64" s="1" t="s">
        <v>49</v>
      </c>
      <c r="D64" s="1" t="s">
        <v>26</v>
      </c>
      <c r="E64" s="2">
        <v>46.628336755646821</v>
      </c>
      <c r="F64" s="2" t="str" cm="1">
        <f t="array" ref="F64">_xlfn.IFS(E64&lt;25,"Under 25",E64&lt;40,"Young Adulthood",E64&lt;60,"Middle Adulthood",E64&gt;=60,"Older Adulthood")</f>
        <v>Middle Adulthood</v>
      </c>
      <c r="G64" s="1" t="s">
        <v>23</v>
      </c>
      <c r="H64" s="1" t="s">
        <v>53</v>
      </c>
      <c r="I64" s="1" t="s">
        <v>53</v>
      </c>
      <c r="J64" s="1" t="s">
        <v>50</v>
      </c>
      <c r="K64" s="1" t="s">
        <v>51</v>
      </c>
      <c r="L64" s="1">
        <v>22.5</v>
      </c>
      <c r="M64" s="1">
        <v>932</v>
      </c>
      <c r="N64" s="1">
        <v>3.12</v>
      </c>
      <c r="O64" s="1">
        <v>95</v>
      </c>
      <c r="P64" s="1">
        <v>5396</v>
      </c>
      <c r="Q64" s="1">
        <v>244.9</v>
      </c>
      <c r="R64" s="1">
        <v>133</v>
      </c>
      <c r="S64" s="1">
        <v>165</v>
      </c>
      <c r="T64" s="1">
        <v>11.6</v>
      </c>
      <c r="U64" s="1">
        <v>3</v>
      </c>
    </row>
    <row r="65" spans="1:21" x14ac:dyDescent="0.35">
      <c r="A65" s="1">
        <v>64</v>
      </c>
      <c r="B65" s="1">
        <v>1487</v>
      </c>
      <c r="C65" s="1" t="s">
        <v>49</v>
      </c>
      <c r="D65" s="1" t="s">
        <v>26</v>
      </c>
      <c r="E65" s="2">
        <v>62.907597535934293</v>
      </c>
      <c r="F65" s="2" t="str" cm="1">
        <f t="array" ref="F65">_xlfn.IFS(E65&lt;25,"Under 25",E65&lt;40,"Young Adulthood",E65&lt;60,"Middle Adulthood",E65&gt;=60,"Older Adulthood")</f>
        <v>Older Adulthood</v>
      </c>
      <c r="G65" s="1" t="s">
        <v>23</v>
      </c>
      <c r="H65" s="1" t="s">
        <v>53</v>
      </c>
      <c r="I65" s="1" t="s">
        <v>50</v>
      </c>
      <c r="J65" s="1" t="s">
        <v>53</v>
      </c>
      <c r="K65" s="1" t="s">
        <v>54</v>
      </c>
      <c r="L65" s="1">
        <v>2.1</v>
      </c>
      <c r="M65" s="1">
        <v>373</v>
      </c>
      <c r="N65" s="1">
        <v>3.5</v>
      </c>
      <c r="O65" s="1">
        <v>52</v>
      </c>
      <c r="P65" s="1">
        <v>1009</v>
      </c>
      <c r="Q65" s="1">
        <v>150.35</v>
      </c>
      <c r="R65" s="1">
        <v>188</v>
      </c>
      <c r="S65" s="1">
        <v>178</v>
      </c>
      <c r="T65" s="1">
        <v>11</v>
      </c>
      <c r="U65" s="1">
        <v>3</v>
      </c>
    </row>
    <row r="66" spans="1:21" x14ac:dyDescent="0.35">
      <c r="A66" s="1">
        <v>65</v>
      </c>
      <c r="B66" s="1">
        <v>3992</v>
      </c>
      <c r="C66" s="1" t="s">
        <v>52</v>
      </c>
      <c r="D66" s="1" t="s">
        <v>21</v>
      </c>
      <c r="E66" s="2">
        <v>40.202600958247778</v>
      </c>
      <c r="F66" s="2" t="str" cm="1">
        <f t="array" ref="F66">_xlfn.IFS(E66&lt;25,"Under 25",E66&lt;40,"Young Adulthood",E66&lt;60,"Middle Adulthood",E66&gt;=60,"Older Adulthood")</f>
        <v>Middle Adulthood</v>
      </c>
      <c r="G66" s="1" t="s">
        <v>23</v>
      </c>
      <c r="H66" s="1" t="s">
        <v>53</v>
      </c>
      <c r="I66" s="1" t="s">
        <v>53</v>
      </c>
      <c r="J66" s="1" t="s">
        <v>53</v>
      </c>
      <c r="K66" s="1" t="s">
        <v>54</v>
      </c>
      <c r="L66" s="1">
        <v>1.2</v>
      </c>
      <c r="M66" s="1">
        <v>256</v>
      </c>
      <c r="N66" s="1">
        <v>3.6</v>
      </c>
      <c r="O66" s="1">
        <v>74</v>
      </c>
      <c r="P66" s="1">
        <v>724</v>
      </c>
      <c r="Q66" s="1">
        <v>141.05000000000001</v>
      </c>
      <c r="R66" s="1">
        <v>108</v>
      </c>
      <c r="S66" s="1">
        <v>430</v>
      </c>
      <c r="T66" s="1">
        <v>10</v>
      </c>
      <c r="U66" s="1">
        <v>1</v>
      </c>
    </row>
    <row r="67" spans="1:21" x14ac:dyDescent="0.35">
      <c r="A67" s="1">
        <v>66</v>
      </c>
      <c r="B67" s="1">
        <v>4191</v>
      </c>
      <c r="C67" s="1" t="s">
        <v>49</v>
      </c>
      <c r="D67" s="1" t="s">
        <v>21</v>
      </c>
      <c r="E67" s="2">
        <v>46.453114305270361</v>
      </c>
      <c r="F67" s="2" t="str" cm="1">
        <f t="array" ref="F67">_xlfn.IFS(E67&lt;25,"Under 25",E67&lt;40,"Young Adulthood",E67&lt;60,"Middle Adulthood",E67&gt;=60,"Older Adulthood")</f>
        <v>Middle Adulthood</v>
      </c>
      <c r="G67" s="1" t="s">
        <v>25</v>
      </c>
      <c r="H67" s="1" t="s">
        <v>53</v>
      </c>
      <c r="I67" s="1" t="s">
        <v>50</v>
      </c>
      <c r="J67" s="1" t="s">
        <v>53</v>
      </c>
      <c r="K67" s="1" t="s">
        <v>54</v>
      </c>
      <c r="L67" s="1">
        <v>1.4</v>
      </c>
      <c r="M67" s="1">
        <v>427</v>
      </c>
      <c r="N67" s="1">
        <v>3.7</v>
      </c>
      <c r="O67" s="1">
        <v>105</v>
      </c>
      <c r="P67" s="1">
        <v>1909</v>
      </c>
      <c r="Q67" s="1">
        <v>182.9</v>
      </c>
      <c r="R67" s="1">
        <v>171</v>
      </c>
      <c r="S67" s="1">
        <v>123</v>
      </c>
      <c r="T67" s="1">
        <v>11</v>
      </c>
      <c r="U67" s="1">
        <v>3</v>
      </c>
    </row>
    <row r="68" spans="1:21" x14ac:dyDescent="0.35">
      <c r="A68" s="1">
        <v>67</v>
      </c>
      <c r="B68" s="1">
        <v>2769</v>
      </c>
      <c r="C68" s="1" t="s">
        <v>49</v>
      </c>
      <c r="D68" s="1" t="s">
        <v>26</v>
      </c>
      <c r="E68" s="2">
        <v>51.288158795345652</v>
      </c>
      <c r="F68" s="2" t="str" cm="1">
        <f t="array" ref="F68">_xlfn.IFS(E68&lt;25,"Under 25",E68&lt;40,"Young Adulthood",E68&lt;60,"Middle Adulthood",E68&gt;=60,"Older Adulthood")</f>
        <v>Middle Adulthood</v>
      </c>
      <c r="G68" s="1" t="s">
        <v>23</v>
      </c>
      <c r="H68" s="1" t="s">
        <v>53</v>
      </c>
      <c r="I68" s="1" t="s">
        <v>53</v>
      </c>
      <c r="J68" s="1" t="s">
        <v>53</v>
      </c>
      <c r="K68" s="1" t="s">
        <v>54</v>
      </c>
      <c r="L68" s="1">
        <v>1.1000000000000001</v>
      </c>
      <c r="M68" s="1">
        <v>466</v>
      </c>
      <c r="N68" s="1">
        <v>3.91</v>
      </c>
      <c r="O68" s="1">
        <v>84</v>
      </c>
      <c r="P68" s="1">
        <v>1787</v>
      </c>
      <c r="Q68" s="1">
        <v>328.6</v>
      </c>
      <c r="R68" s="1">
        <v>185</v>
      </c>
      <c r="S68" s="1">
        <v>261</v>
      </c>
      <c r="T68" s="1">
        <v>10</v>
      </c>
      <c r="U68" s="1">
        <v>3</v>
      </c>
    </row>
    <row r="69" spans="1:21" x14ac:dyDescent="0.35">
      <c r="A69" s="1">
        <v>68</v>
      </c>
      <c r="B69" s="1">
        <v>4039</v>
      </c>
      <c r="C69" s="1" t="s">
        <v>52</v>
      </c>
      <c r="D69" s="1" t="s">
        <v>21</v>
      </c>
      <c r="E69" s="2">
        <v>32.61327857631759</v>
      </c>
      <c r="F69" s="2" t="str" cm="1">
        <f t="array" ref="F69">_xlfn.IFS(E69&lt;25,"Under 25",E69&lt;40,"Young Adulthood",E69&lt;60,"Middle Adulthood",E69&gt;=60,"Older Adulthood")</f>
        <v>Young Adulthood</v>
      </c>
      <c r="G69" s="1" t="s">
        <v>23</v>
      </c>
      <c r="H69" s="1" t="s">
        <v>53</v>
      </c>
      <c r="I69" s="1" t="s">
        <v>53</v>
      </c>
      <c r="J69" s="1" t="s">
        <v>53</v>
      </c>
      <c r="K69" s="1" t="s">
        <v>54</v>
      </c>
      <c r="L69" s="1">
        <v>0.7</v>
      </c>
      <c r="M69" s="1">
        <v>174</v>
      </c>
      <c r="N69" s="1">
        <v>4.09</v>
      </c>
      <c r="O69" s="1">
        <v>58</v>
      </c>
      <c r="P69" s="1">
        <v>642</v>
      </c>
      <c r="Q69" s="1">
        <v>71.3</v>
      </c>
      <c r="R69" s="1">
        <v>46</v>
      </c>
      <c r="S69" s="1">
        <v>203</v>
      </c>
      <c r="T69" s="1">
        <v>10.6</v>
      </c>
      <c r="U69" s="1">
        <v>3</v>
      </c>
    </row>
    <row r="70" spans="1:21" x14ac:dyDescent="0.35">
      <c r="A70" s="1">
        <v>69</v>
      </c>
      <c r="B70" s="1">
        <v>1170</v>
      </c>
      <c r="C70" s="1" t="s">
        <v>49</v>
      </c>
      <c r="D70" s="1" t="s">
        <v>21</v>
      </c>
      <c r="E70" s="2">
        <v>49.338809034907598</v>
      </c>
      <c r="F70" s="2" t="str" cm="1">
        <f t="array" ref="F70">_xlfn.IFS(E70&lt;25,"Under 25",E70&lt;40,"Young Adulthood",E70&lt;60,"Middle Adulthood",E70&gt;=60,"Older Adulthood")</f>
        <v>Middle Adulthood</v>
      </c>
      <c r="G70" s="1" t="s">
        <v>23</v>
      </c>
      <c r="H70" s="1" t="s">
        <v>53</v>
      </c>
      <c r="I70" s="1" t="s">
        <v>50</v>
      </c>
      <c r="J70" s="1" t="s">
        <v>50</v>
      </c>
      <c r="K70" s="1" t="s">
        <v>55</v>
      </c>
      <c r="L70" s="1">
        <v>20</v>
      </c>
      <c r="M70" s="1">
        <v>652</v>
      </c>
      <c r="N70" s="1">
        <v>3.46</v>
      </c>
      <c r="O70" s="1">
        <v>159</v>
      </c>
      <c r="P70" s="1">
        <v>3292</v>
      </c>
      <c r="Q70" s="1">
        <v>215.45</v>
      </c>
      <c r="R70" s="1">
        <v>184</v>
      </c>
      <c r="S70" s="1">
        <v>227</v>
      </c>
      <c r="T70" s="1">
        <v>12.4</v>
      </c>
      <c r="U70" s="1">
        <v>3</v>
      </c>
    </row>
    <row r="71" spans="1:21" x14ac:dyDescent="0.35">
      <c r="A71" s="1">
        <v>70</v>
      </c>
      <c r="B71" s="1">
        <v>3458</v>
      </c>
      <c r="C71" s="1" t="s">
        <v>52</v>
      </c>
      <c r="D71" s="1" t="s">
        <v>21</v>
      </c>
      <c r="E71" s="2">
        <v>56.399726214921287</v>
      </c>
      <c r="F71" s="2" t="str" cm="1">
        <f t="array" ref="F71">_xlfn.IFS(E71&lt;25,"Under 25",E71&lt;40,"Young Adulthood",E71&lt;60,"Middle Adulthood",E71&gt;=60,"Older Adulthood")</f>
        <v>Middle Adulthood</v>
      </c>
      <c r="G71" s="1" t="s">
        <v>23</v>
      </c>
      <c r="H71" s="1" t="s">
        <v>53</v>
      </c>
      <c r="I71" s="1" t="s">
        <v>53</v>
      </c>
      <c r="J71" s="1" t="s">
        <v>53</v>
      </c>
      <c r="K71" s="1" t="s">
        <v>54</v>
      </c>
      <c r="L71" s="1">
        <v>0.6</v>
      </c>
      <c r="M71" s="1">
        <v>309.5</v>
      </c>
      <c r="N71" s="1">
        <v>4.6399999999999997</v>
      </c>
      <c r="O71" s="1">
        <v>20</v>
      </c>
      <c r="P71" s="1">
        <v>666</v>
      </c>
      <c r="Q71" s="1">
        <v>54.25</v>
      </c>
      <c r="R71" s="1">
        <v>108</v>
      </c>
      <c r="S71" s="1">
        <v>265</v>
      </c>
      <c r="T71" s="1">
        <v>10.6</v>
      </c>
      <c r="U71" s="1">
        <v>2</v>
      </c>
    </row>
    <row r="72" spans="1:21" x14ac:dyDescent="0.35">
      <c r="A72" s="1">
        <v>71</v>
      </c>
      <c r="B72" s="1">
        <v>4196</v>
      </c>
      <c r="C72" s="1" t="s">
        <v>52</v>
      </c>
      <c r="D72" s="1" t="s">
        <v>26</v>
      </c>
      <c r="E72" s="2">
        <v>48.845995893223822</v>
      </c>
      <c r="F72" s="2" t="str" cm="1">
        <f t="array" ref="F72">_xlfn.IFS(E72&lt;25,"Under 25",E72&lt;40,"Young Adulthood",E72&lt;60,"Middle Adulthood",E72&gt;=60,"Older Adulthood")</f>
        <v>Middle Adulthood</v>
      </c>
      <c r="G72" s="1" t="s">
        <v>23</v>
      </c>
      <c r="H72" s="1" t="s">
        <v>53</v>
      </c>
      <c r="I72" s="1" t="s">
        <v>50</v>
      </c>
      <c r="J72" s="1" t="s">
        <v>53</v>
      </c>
      <c r="K72" s="1" t="s">
        <v>54</v>
      </c>
      <c r="L72" s="1">
        <v>1.2</v>
      </c>
      <c r="M72" s="1">
        <v>258</v>
      </c>
      <c r="N72" s="1">
        <v>3.57</v>
      </c>
      <c r="O72" s="1">
        <v>79</v>
      </c>
      <c r="P72" s="1">
        <v>2201</v>
      </c>
      <c r="Q72" s="1">
        <v>120.9</v>
      </c>
      <c r="R72" s="1">
        <v>76</v>
      </c>
      <c r="S72" s="1">
        <v>410</v>
      </c>
      <c r="T72" s="1">
        <v>11.5</v>
      </c>
      <c r="U72" s="1">
        <v>4</v>
      </c>
    </row>
    <row r="73" spans="1:21" x14ac:dyDescent="0.35">
      <c r="A73" s="1">
        <v>72</v>
      </c>
      <c r="B73" s="1">
        <v>4184</v>
      </c>
      <c r="C73" s="1" t="s">
        <v>52</v>
      </c>
      <c r="D73" s="1" t="s">
        <v>26</v>
      </c>
      <c r="E73" s="2">
        <v>32.492813141683776</v>
      </c>
      <c r="F73" s="2" t="str" cm="1">
        <f t="array" ref="F73">_xlfn.IFS(E73&lt;25,"Under 25",E73&lt;40,"Young Adulthood",E73&lt;60,"Middle Adulthood",E73&gt;=60,"Older Adulthood")</f>
        <v>Young Adulthood</v>
      </c>
      <c r="G73" s="1" t="s">
        <v>23</v>
      </c>
      <c r="H73" s="1" t="s">
        <v>53</v>
      </c>
      <c r="I73" s="1" t="s">
        <v>53</v>
      </c>
      <c r="J73" s="1" t="s">
        <v>53</v>
      </c>
      <c r="K73" s="1" t="s">
        <v>54</v>
      </c>
      <c r="L73" s="1">
        <v>0.5</v>
      </c>
      <c r="M73" s="1">
        <v>320</v>
      </c>
      <c r="N73" s="1">
        <v>3.54</v>
      </c>
      <c r="O73" s="1">
        <v>51</v>
      </c>
      <c r="P73" s="1">
        <v>1243</v>
      </c>
      <c r="Q73" s="1">
        <v>122.45</v>
      </c>
      <c r="R73" s="1">
        <v>80</v>
      </c>
      <c r="S73" s="1">
        <v>225</v>
      </c>
      <c r="T73" s="1">
        <v>10</v>
      </c>
      <c r="U73" s="1">
        <v>3</v>
      </c>
    </row>
    <row r="74" spans="1:21" x14ac:dyDescent="0.35">
      <c r="A74" s="1">
        <v>73</v>
      </c>
      <c r="B74" s="1">
        <v>4190</v>
      </c>
      <c r="C74" s="1" t="s">
        <v>52</v>
      </c>
      <c r="D74" s="1" t="s">
        <v>26</v>
      </c>
      <c r="E74" s="2">
        <v>38.494182067077347</v>
      </c>
      <c r="F74" s="2" t="str" cm="1">
        <f t="array" ref="F74">_xlfn.IFS(E74&lt;25,"Under 25",E74&lt;40,"Young Adulthood",E74&lt;60,"Middle Adulthood",E74&gt;=60,"Older Adulthood")</f>
        <v>Young Adulthood</v>
      </c>
      <c r="G74" s="1" t="s">
        <v>23</v>
      </c>
      <c r="H74" s="1" t="s">
        <v>53</v>
      </c>
      <c r="I74" s="1" t="s">
        <v>53</v>
      </c>
      <c r="J74" s="1" t="s">
        <v>53</v>
      </c>
      <c r="K74" s="1" t="s">
        <v>54</v>
      </c>
      <c r="L74" s="1">
        <v>0.7</v>
      </c>
      <c r="M74" s="1">
        <v>132</v>
      </c>
      <c r="N74" s="1">
        <v>3.6</v>
      </c>
      <c r="O74" s="1">
        <v>17</v>
      </c>
      <c r="P74" s="1">
        <v>423</v>
      </c>
      <c r="Q74" s="1">
        <v>49.6</v>
      </c>
      <c r="R74" s="1">
        <v>56</v>
      </c>
      <c r="S74" s="1">
        <v>265</v>
      </c>
      <c r="T74" s="1">
        <v>11</v>
      </c>
      <c r="U74" s="1">
        <v>1</v>
      </c>
    </row>
    <row r="75" spans="1:21" x14ac:dyDescent="0.35">
      <c r="A75" s="1">
        <v>74</v>
      </c>
      <c r="B75" s="1">
        <v>1827</v>
      </c>
      <c r="C75" s="1" t="s">
        <v>49</v>
      </c>
      <c r="D75" s="1" t="s">
        <v>21</v>
      </c>
      <c r="E75" s="2">
        <v>51.920602327173171</v>
      </c>
      <c r="F75" s="2" t="str" cm="1">
        <f t="array" ref="F75">_xlfn.IFS(E75&lt;25,"Under 25",E75&lt;40,"Young Adulthood",E75&lt;60,"Middle Adulthood",E75&gt;=60,"Older Adulthood")</f>
        <v>Middle Adulthood</v>
      </c>
      <c r="G75" s="1" t="s">
        <v>23</v>
      </c>
      <c r="H75" s="1" t="s">
        <v>53</v>
      </c>
      <c r="I75" s="1" t="s">
        <v>50</v>
      </c>
      <c r="J75" s="1" t="s">
        <v>50</v>
      </c>
      <c r="K75" s="1" t="s">
        <v>54</v>
      </c>
      <c r="L75" s="1">
        <v>8.4</v>
      </c>
      <c r="M75" s="1">
        <v>558</v>
      </c>
      <c r="N75" s="1">
        <v>3.99</v>
      </c>
      <c r="O75" s="1">
        <v>280</v>
      </c>
      <c r="P75" s="1">
        <v>967</v>
      </c>
      <c r="Q75" s="1">
        <v>89.9</v>
      </c>
      <c r="R75" s="1">
        <v>309</v>
      </c>
      <c r="S75" s="1">
        <v>278</v>
      </c>
      <c r="T75" s="1">
        <v>11</v>
      </c>
      <c r="U75" s="1">
        <v>4</v>
      </c>
    </row>
    <row r="76" spans="1:21" x14ac:dyDescent="0.35">
      <c r="A76" s="1">
        <v>75</v>
      </c>
      <c r="B76" s="1">
        <v>1191</v>
      </c>
      <c r="C76" s="1" t="s">
        <v>49</v>
      </c>
      <c r="D76" s="1" t="s">
        <v>21</v>
      </c>
      <c r="E76" s="2">
        <v>43.518138261464749</v>
      </c>
      <c r="F76" s="2" t="str" cm="1">
        <f t="array" ref="F76">_xlfn.IFS(E76&lt;25,"Under 25",E76&lt;40,"Young Adulthood",E76&lt;60,"Middle Adulthood",E76&gt;=60,"Older Adulthood")</f>
        <v>Middle Adulthood</v>
      </c>
      <c r="G76" s="1" t="s">
        <v>23</v>
      </c>
      <c r="H76" s="1" t="s">
        <v>50</v>
      </c>
      <c r="I76" s="1" t="s">
        <v>50</v>
      </c>
      <c r="J76" s="1" t="s">
        <v>50</v>
      </c>
      <c r="K76" s="1" t="s">
        <v>55</v>
      </c>
      <c r="L76" s="1">
        <v>17.100000000000001</v>
      </c>
      <c r="M76" s="1">
        <v>674</v>
      </c>
      <c r="N76" s="1">
        <v>2.5299999999999998</v>
      </c>
      <c r="O76" s="1">
        <v>207</v>
      </c>
      <c r="P76" s="1">
        <v>2078</v>
      </c>
      <c r="Q76" s="1">
        <v>182.9</v>
      </c>
      <c r="R76" s="1">
        <v>598</v>
      </c>
      <c r="S76" s="1">
        <v>268</v>
      </c>
      <c r="T76" s="1">
        <v>11.5</v>
      </c>
      <c r="U76" s="1">
        <v>4</v>
      </c>
    </row>
    <row r="77" spans="1:21" x14ac:dyDescent="0.35">
      <c r="A77" s="1">
        <v>76</v>
      </c>
      <c r="B77" s="1">
        <v>71</v>
      </c>
      <c r="C77" s="1" t="s">
        <v>49</v>
      </c>
      <c r="D77" s="1" t="s">
        <v>21</v>
      </c>
      <c r="E77" s="2">
        <v>51.942505133470227</v>
      </c>
      <c r="F77" s="2" t="str" cm="1">
        <f t="array" ref="F77">_xlfn.IFS(E77&lt;25,"Under 25",E77&lt;40,"Young Adulthood",E77&lt;60,"Middle Adulthood",E77&gt;=60,"Older Adulthood")</f>
        <v>Middle Adulthood</v>
      </c>
      <c r="G77" s="1" t="s">
        <v>23</v>
      </c>
      <c r="H77" s="1" t="s">
        <v>53</v>
      </c>
      <c r="I77" s="1" t="s">
        <v>50</v>
      </c>
      <c r="J77" s="1" t="s">
        <v>50</v>
      </c>
      <c r="K77" s="1" t="s">
        <v>55</v>
      </c>
      <c r="L77" s="1">
        <v>12.2</v>
      </c>
      <c r="M77" s="1">
        <v>394</v>
      </c>
      <c r="N77" s="1">
        <v>3.08</v>
      </c>
      <c r="O77" s="1">
        <v>111</v>
      </c>
      <c r="P77" s="1">
        <v>2132</v>
      </c>
      <c r="Q77" s="1">
        <v>155</v>
      </c>
      <c r="R77" s="1">
        <v>243</v>
      </c>
      <c r="S77" s="1">
        <v>165</v>
      </c>
      <c r="T77" s="1">
        <v>11.6</v>
      </c>
      <c r="U77" s="1">
        <v>4</v>
      </c>
    </row>
    <row r="78" spans="1:21" x14ac:dyDescent="0.35">
      <c r="A78" s="1">
        <v>77</v>
      </c>
      <c r="B78" s="1">
        <v>326</v>
      </c>
      <c r="C78" s="1" t="s">
        <v>49</v>
      </c>
      <c r="D78" s="1" t="s">
        <v>26</v>
      </c>
      <c r="E78" s="2">
        <v>49.826146475017111</v>
      </c>
      <c r="F78" s="2" t="str" cm="1">
        <f t="array" ref="F78">_xlfn.IFS(E78&lt;25,"Under 25",E78&lt;40,"Young Adulthood",E78&lt;60,"Middle Adulthood",E78&gt;=60,"Older Adulthood")</f>
        <v>Middle Adulthood</v>
      </c>
      <c r="G78" s="1" t="s">
        <v>23</v>
      </c>
      <c r="H78" s="1" t="s">
        <v>53</v>
      </c>
      <c r="I78" s="1" t="s">
        <v>50</v>
      </c>
      <c r="J78" s="1" t="s">
        <v>50</v>
      </c>
      <c r="K78" s="1" t="s">
        <v>55</v>
      </c>
      <c r="L78" s="1">
        <v>6.6</v>
      </c>
      <c r="M78" s="1">
        <v>244</v>
      </c>
      <c r="N78" s="1">
        <v>3.41</v>
      </c>
      <c r="O78" s="1">
        <v>199</v>
      </c>
      <c r="P78" s="1">
        <v>1819</v>
      </c>
      <c r="Q78" s="1">
        <v>170.5</v>
      </c>
      <c r="R78" s="1">
        <v>91</v>
      </c>
      <c r="S78" s="1">
        <v>132</v>
      </c>
      <c r="T78" s="1">
        <v>12.1</v>
      </c>
      <c r="U78" s="1">
        <v>3</v>
      </c>
    </row>
    <row r="79" spans="1:21" x14ac:dyDescent="0.35">
      <c r="A79" s="1">
        <v>78</v>
      </c>
      <c r="B79" s="1">
        <v>1690</v>
      </c>
      <c r="C79" s="1" t="s">
        <v>49</v>
      </c>
      <c r="D79" s="1" t="s">
        <v>21</v>
      </c>
      <c r="E79" s="2">
        <v>47.945242984257355</v>
      </c>
      <c r="F79" s="2" t="str" cm="1">
        <f t="array" ref="F79">_xlfn.IFS(E79&lt;25,"Under 25",E79&lt;40,"Young Adulthood",E79&lt;60,"Middle Adulthood",E79&gt;=60,"Older Adulthood")</f>
        <v>Middle Adulthood</v>
      </c>
      <c r="G79" s="1" t="s">
        <v>23</v>
      </c>
      <c r="H79" s="1" t="s">
        <v>53</v>
      </c>
      <c r="I79" s="1" t="s">
        <v>50</v>
      </c>
      <c r="J79" s="1" t="s">
        <v>53</v>
      </c>
      <c r="K79" s="1" t="s">
        <v>54</v>
      </c>
      <c r="L79" s="1">
        <v>6.3</v>
      </c>
      <c r="M79" s="1">
        <v>436</v>
      </c>
      <c r="N79" s="1">
        <v>3.02</v>
      </c>
      <c r="O79" s="1">
        <v>75</v>
      </c>
      <c r="P79" s="1">
        <v>2176</v>
      </c>
      <c r="Q79" s="1">
        <v>170.5</v>
      </c>
      <c r="R79" s="1">
        <v>104</v>
      </c>
      <c r="S79" s="1">
        <v>236</v>
      </c>
      <c r="T79" s="1">
        <v>10.6</v>
      </c>
      <c r="U79" s="1">
        <v>4</v>
      </c>
    </row>
    <row r="80" spans="1:21" x14ac:dyDescent="0.35">
      <c r="A80" s="1">
        <v>79</v>
      </c>
      <c r="B80" s="1">
        <v>3707</v>
      </c>
      <c r="C80" s="1" t="s">
        <v>52</v>
      </c>
      <c r="D80" s="1" t="s">
        <v>21</v>
      </c>
      <c r="E80" s="2">
        <v>46.516084873374403</v>
      </c>
      <c r="F80" s="2" t="str" cm="1">
        <f t="array" ref="F80">_xlfn.IFS(E80&lt;25,"Under 25",E80&lt;40,"Young Adulthood",E80&lt;60,"Middle Adulthood",E80&gt;=60,"Older Adulthood")</f>
        <v>Middle Adulthood</v>
      </c>
      <c r="G80" s="1" t="s">
        <v>23</v>
      </c>
      <c r="H80" s="1" t="s">
        <v>53</v>
      </c>
      <c r="I80" s="1" t="s">
        <v>50</v>
      </c>
      <c r="J80" s="1" t="s">
        <v>53</v>
      </c>
      <c r="K80" s="1" t="s">
        <v>54</v>
      </c>
      <c r="L80" s="1">
        <v>0.8</v>
      </c>
      <c r="M80" s="1">
        <v>315</v>
      </c>
      <c r="N80" s="1">
        <v>4.24</v>
      </c>
      <c r="O80" s="1">
        <v>13</v>
      </c>
      <c r="P80" s="1">
        <v>1637</v>
      </c>
      <c r="Q80" s="1">
        <v>170.5</v>
      </c>
      <c r="R80" s="1">
        <v>70</v>
      </c>
      <c r="S80" s="1">
        <v>426</v>
      </c>
      <c r="T80" s="1">
        <v>10.9</v>
      </c>
      <c r="U80" s="1">
        <v>3</v>
      </c>
    </row>
    <row r="81" spans="1:21" x14ac:dyDescent="0.35">
      <c r="A81" s="1">
        <v>80</v>
      </c>
      <c r="B81" s="1">
        <v>890</v>
      </c>
      <c r="C81" s="1" t="s">
        <v>49</v>
      </c>
      <c r="D81" s="1" t="s">
        <v>26</v>
      </c>
      <c r="E81" s="2">
        <v>67.411362080766594</v>
      </c>
      <c r="F81" s="2" t="str" cm="1">
        <f t="array" ref="F81">_xlfn.IFS(E81&lt;25,"Under 25",E81&lt;40,"Young Adulthood",E81&lt;60,"Middle Adulthood",E81&gt;=60,"Older Adulthood")</f>
        <v>Older Adulthood</v>
      </c>
      <c r="G81" s="1" t="s">
        <v>25</v>
      </c>
      <c r="H81" s="1" t="s">
        <v>53</v>
      </c>
      <c r="I81" s="1" t="s">
        <v>50</v>
      </c>
      <c r="J81" s="1" t="s">
        <v>53</v>
      </c>
      <c r="K81" s="1" t="s">
        <v>54</v>
      </c>
      <c r="L81" s="1">
        <v>7.2</v>
      </c>
      <c r="M81" s="1">
        <v>247</v>
      </c>
      <c r="N81" s="1">
        <v>3.72</v>
      </c>
      <c r="O81" s="1">
        <v>269</v>
      </c>
      <c r="P81" s="1">
        <v>1303</v>
      </c>
      <c r="Q81" s="1">
        <v>176.7</v>
      </c>
      <c r="R81" s="1">
        <v>91</v>
      </c>
      <c r="S81" s="1">
        <v>360</v>
      </c>
      <c r="T81" s="1">
        <v>11.2</v>
      </c>
      <c r="U81" s="1">
        <v>4</v>
      </c>
    </row>
    <row r="82" spans="1:21" x14ac:dyDescent="0.35">
      <c r="A82" s="1">
        <v>81</v>
      </c>
      <c r="B82" s="1">
        <v>2540</v>
      </c>
      <c r="C82" s="1" t="s">
        <v>49</v>
      </c>
      <c r="D82" s="1" t="s">
        <v>21</v>
      </c>
      <c r="E82" s="2">
        <v>63.263518138261468</v>
      </c>
      <c r="F82" s="2" t="str" cm="1">
        <f t="array" ref="F82">_xlfn.IFS(E82&lt;25,"Under 25",E82&lt;40,"Young Adulthood",E82&lt;60,"Middle Adulthood",E82&gt;=60,"Older Adulthood")</f>
        <v>Older Adulthood</v>
      </c>
      <c r="G82" s="1" t="s">
        <v>23</v>
      </c>
      <c r="H82" s="1" t="s">
        <v>53</v>
      </c>
      <c r="I82" s="1" t="s">
        <v>50</v>
      </c>
      <c r="J82" s="1" t="s">
        <v>50</v>
      </c>
      <c r="K82" s="1" t="s">
        <v>54</v>
      </c>
      <c r="L82" s="1">
        <v>14.4</v>
      </c>
      <c r="M82" s="1">
        <v>448</v>
      </c>
      <c r="N82" s="1">
        <v>3.65</v>
      </c>
      <c r="O82" s="1">
        <v>34</v>
      </c>
      <c r="P82" s="1">
        <v>1218</v>
      </c>
      <c r="Q82" s="1">
        <v>60.45</v>
      </c>
      <c r="R82" s="1">
        <v>318</v>
      </c>
      <c r="S82" s="1">
        <v>385</v>
      </c>
      <c r="T82" s="1">
        <v>11.7</v>
      </c>
      <c r="U82" s="1">
        <v>4</v>
      </c>
    </row>
    <row r="83" spans="1:21" x14ac:dyDescent="0.35">
      <c r="A83" s="1">
        <v>82</v>
      </c>
      <c r="B83" s="1">
        <v>3574</v>
      </c>
      <c r="C83" s="1" t="s">
        <v>49</v>
      </c>
      <c r="D83" s="1" t="s">
        <v>21</v>
      </c>
      <c r="E83" s="2">
        <v>67.310061601642715</v>
      </c>
      <c r="F83" s="2" t="str" cm="1">
        <f t="array" ref="F83">_xlfn.IFS(E83&lt;25,"Under 25",E83&lt;40,"Young Adulthood",E83&lt;60,"Middle Adulthood",E83&gt;=60,"Older Adulthood")</f>
        <v>Older Adulthood</v>
      </c>
      <c r="G83" s="1" t="s">
        <v>23</v>
      </c>
      <c r="H83" s="1" t="s">
        <v>53</v>
      </c>
      <c r="I83" s="1" t="s">
        <v>53</v>
      </c>
      <c r="J83" s="1" t="s">
        <v>53</v>
      </c>
      <c r="K83" s="1" t="s">
        <v>54</v>
      </c>
      <c r="L83" s="1">
        <v>4.5</v>
      </c>
      <c r="M83" s="1">
        <v>472</v>
      </c>
      <c r="N83" s="1">
        <v>4.09</v>
      </c>
      <c r="O83" s="1">
        <v>154</v>
      </c>
      <c r="P83" s="1">
        <v>1580</v>
      </c>
      <c r="Q83" s="1">
        <v>117.8</v>
      </c>
      <c r="R83" s="1">
        <v>272</v>
      </c>
      <c r="S83" s="1">
        <v>412</v>
      </c>
      <c r="T83" s="1">
        <v>11.1</v>
      </c>
      <c r="U83" s="1">
        <v>3</v>
      </c>
    </row>
    <row r="84" spans="1:21" x14ac:dyDescent="0.35">
      <c r="A84" s="1">
        <v>83</v>
      </c>
      <c r="B84" s="1">
        <v>4050</v>
      </c>
      <c r="C84" s="1" t="s">
        <v>52</v>
      </c>
      <c r="D84" s="1" t="s">
        <v>21</v>
      </c>
      <c r="E84" s="2">
        <v>56.013689253935659</v>
      </c>
      <c r="F84" s="2" t="str" cm="1">
        <f t="array" ref="F84">_xlfn.IFS(E84&lt;25,"Under 25",E84&lt;40,"Young Adulthood",E84&lt;60,"Middle Adulthood",E84&gt;=60,"Older Adulthood")</f>
        <v>Middle Adulthood</v>
      </c>
      <c r="G84" s="1" t="s">
        <v>23</v>
      </c>
      <c r="H84" s="1" t="s">
        <v>53</v>
      </c>
      <c r="I84" s="1" t="s">
        <v>50</v>
      </c>
      <c r="J84" s="1" t="s">
        <v>53</v>
      </c>
      <c r="K84" s="1" t="s">
        <v>55</v>
      </c>
      <c r="L84" s="1">
        <v>1.3</v>
      </c>
      <c r="M84" s="1">
        <v>250</v>
      </c>
      <c r="N84" s="1">
        <v>3.5</v>
      </c>
      <c r="O84" s="1">
        <v>48</v>
      </c>
      <c r="P84" s="1">
        <v>1138</v>
      </c>
      <c r="Q84" s="1">
        <v>71.3</v>
      </c>
      <c r="R84" s="1">
        <v>100</v>
      </c>
      <c r="S84" s="1">
        <v>81</v>
      </c>
      <c r="T84" s="1">
        <v>12.9</v>
      </c>
      <c r="U84" s="1">
        <v>4</v>
      </c>
    </row>
    <row r="85" spans="1:21" x14ac:dyDescent="0.35">
      <c r="A85" s="1">
        <v>84</v>
      </c>
      <c r="B85" s="1">
        <v>4032</v>
      </c>
      <c r="C85" s="1" t="s">
        <v>52</v>
      </c>
      <c r="D85" s="1" t="s">
        <v>26</v>
      </c>
      <c r="E85" s="2">
        <v>55.83025325119781</v>
      </c>
      <c r="F85" s="2" t="str" cm="1">
        <f t="array" ref="F85">_xlfn.IFS(E85&lt;25,"Under 25",E85&lt;40,"Young Adulthood",E85&lt;60,"Middle Adulthood",E85&gt;=60,"Older Adulthood")</f>
        <v>Middle Adulthood</v>
      </c>
      <c r="G85" s="1" t="s">
        <v>23</v>
      </c>
      <c r="H85" s="1" t="s">
        <v>53</v>
      </c>
      <c r="I85" s="1" t="s">
        <v>53</v>
      </c>
      <c r="J85" s="1" t="s">
        <v>53</v>
      </c>
      <c r="K85" s="1" t="s">
        <v>54</v>
      </c>
      <c r="L85" s="1">
        <v>0.4</v>
      </c>
      <c r="M85" s="1">
        <v>263</v>
      </c>
      <c r="N85" s="1">
        <v>3.76</v>
      </c>
      <c r="O85" s="1">
        <v>29</v>
      </c>
      <c r="P85" s="1">
        <v>1345</v>
      </c>
      <c r="Q85" s="1">
        <v>137.94999999999999</v>
      </c>
      <c r="R85" s="1">
        <v>74</v>
      </c>
      <c r="S85" s="1">
        <v>181</v>
      </c>
      <c r="T85" s="1">
        <v>11.2</v>
      </c>
      <c r="U85" s="1">
        <v>3</v>
      </c>
    </row>
    <row r="86" spans="1:21" x14ac:dyDescent="0.35">
      <c r="A86" s="1">
        <v>85</v>
      </c>
      <c r="B86" s="1">
        <v>3358</v>
      </c>
      <c r="C86" s="1" t="s">
        <v>49</v>
      </c>
      <c r="D86" s="1" t="s">
        <v>26</v>
      </c>
      <c r="E86" s="2">
        <v>47.21697467488022</v>
      </c>
      <c r="F86" s="2" t="str" cm="1">
        <f t="array" ref="F86">_xlfn.IFS(E86&lt;25,"Under 25",E86&lt;40,"Young Adulthood",E86&lt;60,"Middle Adulthood",E86&gt;=60,"Older Adulthood")</f>
        <v>Middle Adulthood</v>
      </c>
      <c r="G86" s="1" t="s">
        <v>23</v>
      </c>
      <c r="H86" s="1" t="s">
        <v>53</v>
      </c>
      <c r="I86" s="1" t="s">
        <v>50</v>
      </c>
      <c r="J86" s="1" t="s">
        <v>53</v>
      </c>
      <c r="K86" s="1" t="s">
        <v>54</v>
      </c>
      <c r="L86" s="1">
        <v>2.1</v>
      </c>
      <c r="M86" s="1">
        <v>262</v>
      </c>
      <c r="N86" s="1">
        <v>3.48</v>
      </c>
      <c r="O86" s="1">
        <v>58</v>
      </c>
      <c r="P86" s="1">
        <v>2045</v>
      </c>
      <c r="Q86" s="1">
        <v>89.9</v>
      </c>
      <c r="R86" s="1">
        <v>84</v>
      </c>
      <c r="S86" s="1">
        <v>225</v>
      </c>
      <c r="T86" s="1">
        <v>11.5</v>
      </c>
      <c r="U86" s="1">
        <v>4</v>
      </c>
    </row>
    <row r="87" spans="1:21" x14ac:dyDescent="0.35">
      <c r="A87" s="1">
        <v>86</v>
      </c>
      <c r="B87" s="1">
        <v>1657</v>
      </c>
      <c r="C87" s="1" t="s">
        <v>49</v>
      </c>
      <c r="D87" s="1" t="s">
        <v>21</v>
      </c>
      <c r="E87" s="2">
        <v>52.758384668035589</v>
      </c>
      <c r="F87" s="2" t="str" cm="1">
        <f t="array" ref="F87">_xlfn.IFS(E87&lt;25,"Under 25",E87&lt;40,"Young Adulthood",E87&lt;60,"Middle Adulthood",E87&gt;=60,"Older Adulthood")</f>
        <v>Middle Adulthood</v>
      </c>
      <c r="G87" s="1" t="s">
        <v>23</v>
      </c>
      <c r="H87" s="1" t="s">
        <v>53</v>
      </c>
      <c r="I87" s="1" t="s">
        <v>50</v>
      </c>
      <c r="J87" s="1" t="s">
        <v>50</v>
      </c>
      <c r="K87" s="1" t="s">
        <v>54</v>
      </c>
      <c r="L87" s="1">
        <v>5</v>
      </c>
      <c r="M87" s="1">
        <v>1600</v>
      </c>
      <c r="N87" s="1">
        <v>3.21</v>
      </c>
      <c r="O87" s="1">
        <v>75</v>
      </c>
      <c r="P87" s="1">
        <v>2656</v>
      </c>
      <c r="Q87" s="1">
        <v>82.15</v>
      </c>
      <c r="R87" s="1">
        <v>174</v>
      </c>
      <c r="S87" s="1">
        <v>181</v>
      </c>
      <c r="T87" s="1">
        <v>10.9</v>
      </c>
      <c r="U87" s="1">
        <v>3</v>
      </c>
    </row>
    <row r="88" spans="1:21" x14ac:dyDescent="0.35">
      <c r="A88" s="1">
        <v>87</v>
      </c>
      <c r="B88" s="1">
        <v>198</v>
      </c>
      <c r="C88" s="1" t="s">
        <v>49</v>
      </c>
      <c r="D88" s="1" t="s">
        <v>21</v>
      </c>
      <c r="E88" s="2">
        <v>37.278576317590691</v>
      </c>
      <c r="F88" s="2" t="str" cm="1">
        <f t="array" ref="F88">_xlfn.IFS(E88&lt;25,"Under 25",E88&lt;40,"Young Adulthood",E88&lt;60,"Middle Adulthood",E88&gt;=60,"Older Adulthood")</f>
        <v>Young Adulthood</v>
      </c>
      <c r="G88" s="1" t="s">
        <v>23</v>
      </c>
      <c r="H88" s="1" t="s">
        <v>53</v>
      </c>
      <c r="I88" s="1" t="s">
        <v>53</v>
      </c>
      <c r="J88" s="1" t="s">
        <v>53</v>
      </c>
      <c r="K88" s="1" t="s">
        <v>54</v>
      </c>
      <c r="L88" s="1">
        <v>1.1000000000000001</v>
      </c>
      <c r="M88" s="1">
        <v>345</v>
      </c>
      <c r="N88" s="1">
        <v>4.4000000000000004</v>
      </c>
      <c r="O88" s="1">
        <v>75</v>
      </c>
      <c r="P88" s="1">
        <v>1860</v>
      </c>
      <c r="Q88" s="1">
        <v>218.55</v>
      </c>
      <c r="R88" s="1">
        <v>72</v>
      </c>
      <c r="S88" s="1">
        <v>447</v>
      </c>
      <c r="T88" s="1">
        <v>10.7</v>
      </c>
      <c r="U88" s="1">
        <v>3</v>
      </c>
    </row>
    <row r="89" spans="1:21" x14ac:dyDescent="0.35">
      <c r="A89" s="1">
        <v>88</v>
      </c>
      <c r="B89" s="1">
        <v>2452</v>
      </c>
      <c r="C89" s="1" t="s">
        <v>52</v>
      </c>
      <c r="D89" s="1" t="s">
        <v>26</v>
      </c>
      <c r="E89" s="2">
        <v>41.393566050650243</v>
      </c>
      <c r="F89" s="2" t="str" cm="1">
        <f t="array" ref="F89">_xlfn.IFS(E89&lt;25,"Under 25",E89&lt;40,"Young Adulthood",E89&lt;60,"Middle Adulthood",E89&gt;=60,"Older Adulthood")</f>
        <v>Middle Adulthood</v>
      </c>
      <c r="G89" s="1" t="s">
        <v>23</v>
      </c>
      <c r="H89" s="1" t="s">
        <v>53</v>
      </c>
      <c r="I89" s="1" t="s">
        <v>53</v>
      </c>
      <c r="J89" s="1" t="s">
        <v>53</v>
      </c>
      <c r="K89" s="1" t="s">
        <v>55</v>
      </c>
      <c r="L89" s="1">
        <v>0.6</v>
      </c>
      <c r="M89" s="1">
        <v>296</v>
      </c>
      <c r="N89" s="1">
        <v>4.0599999999999996</v>
      </c>
      <c r="O89" s="1">
        <v>37</v>
      </c>
      <c r="P89" s="1">
        <v>1032</v>
      </c>
      <c r="Q89" s="1">
        <v>80.599999999999994</v>
      </c>
      <c r="R89" s="1">
        <v>83</v>
      </c>
      <c r="S89" s="1">
        <v>442</v>
      </c>
      <c r="T89" s="1">
        <v>12</v>
      </c>
      <c r="U89" s="1">
        <v>3</v>
      </c>
    </row>
    <row r="90" spans="1:21" x14ac:dyDescent="0.35">
      <c r="A90" s="1">
        <v>89</v>
      </c>
      <c r="B90" s="1">
        <v>1741</v>
      </c>
      <c r="C90" s="1" t="s">
        <v>49</v>
      </c>
      <c r="D90" s="1" t="s">
        <v>21</v>
      </c>
      <c r="E90" s="2">
        <v>52.4435318275154</v>
      </c>
      <c r="F90" s="2" t="str" cm="1">
        <f t="array" ref="F90">_xlfn.IFS(E90&lt;25,"Under 25",E90&lt;40,"Young Adulthood",E90&lt;60,"Middle Adulthood",E90&gt;=60,"Older Adulthood")</f>
        <v>Middle Adulthood</v>
      </c>
      <c r="G90" s="1" t="s">
        <v>23</v>
      </c>
      <c r="H90" s="1" t="s">
        <v>53</v>
      </c>
      <c r="I90" s="1" t="s">
        <v>50</v>
      </c>
      <c r="J90" s="1" t="s">
        <v>53</v>
      </c>
      <c r="K90" s="1" t="s">
        <v>54</v>
      </c>
      <c r="L90" s="1">
        <v>2</v>
      </c>
      <c r="M90" s="1">
        <v>408</v>
      </c>
      <c r="N90" s="1">
        <v>3.65</v>
      </c>
      <c r="O90" s="1">
        <v>50</v>
      </c>
      <c r="P90" s="1">
        <v>1083</v>
      </c>
      <c r="Q90" s="1">
        <v>110.05</v>
      </c>
      <c r="R90" s="1">
        <v>98</v>
      </c>
      <c r="S90" s="1">
        <v>200</v>
      </c>
      <c r="T90" s="1">
        <v>11.4</v>
      </c>
      <c r="U90" s="1">
        <v>2</v>
      </c>
    </row>
    <row r="91" spans="1:21" x14ac:dyDescent="0.35">
      <c r="A91" s="1">
        <v>90</v>
      </c>
      <c r="B91" s="1">
        <v>2689</v>
      </c>
      <c r="C91" s="1" t="s">
        <v>49</v>
      </c>
      <c r="D91" s="1" t="s">
        <v>21</v>
      </c>
      <c r="E91" s="2">
        <v>33.4757015742642</v>
      </c>
      <c r="F91" s="2" t="str" cm="1">
        <f t="array" ref="F91">_xlfn.IFS(E91&lt;25,"Under 25",E91&lt;40,"Young Adulthood",E91&lt;60,"Middle Adulthood",E91&gt;=60,"Older Adulthood")</f>
        <v>Young Adulthood</v>
      </c>
      <c r="G91" s="1" t="s">
        <v>25</v>
      </c>
      <c r="H91" s="1" t="s">
        <v>53</v>
      </c>
      <c r="I91" s="1" t="s">
        <v>53</v>
      </c>
      <c r="J91" s="1" t="s">
        <v>53</v>
      </c>
      <c r="K91" s="1" t="s">
        <v>54</v>
      </c>
      <c r="L91" s="1">
        <v>1.6</v>
      </c>
      <c r="M91" s="1">
        <v>660</v>
      </c>
      <c r="N91" s="1">
        <v>4.22</v>
      </c>
      <c r="O91" s="1">
        <v>94</v>
      </c>
      <c r="P91" s="1">
        <v>1857</v>
      </c>
      <c r="Q91" s="1">
        <v>151.9</v>
      </c>
      <c r="R91" s="1">
        <v>155</v>
      </c>
      <c r="S91" s="1">
        <v>337</v>
      </c>
      <c r="T91" s="1">
        <v>11</v>
      </c>
      <c r="U91" s="1">
        <v>2</v>
      </c>
    </row>
    <row r="92" spans="1:21" x14ac:dyDescent="0.35">
      <c r="A92" s="1">
        <v>91</v>
      </c>
      <c r="B92" s="1">
        <v>460</v>
      </c>
      <c r="C92" s="1" t="s">
        <v>49</v>
      </c>
      <c r="D92" s="1" t="s">
        <v>26</v>
      </c>
      <c r="E92" s="2">
        <v>45.607118412046546</v>
      </c>
      <c r="F92" s="2" t="str" cm="1">
        <f t="array" ref="F92">_xlfn.IFS(E92&lt;25,"Under 25",E92&lt;40,"Young Adulthood",E92&lt;60,"Middle Adulthood",E92&gt;=60,"Older Adulthood")</f>
        <v>Middle Adulthood</v>
      </c>
      <c r="G92" s="1" t="s">
        <v>23</v>
      </c>
      <c r="H92" s="1" t="s">
        <v>53</v>
      </c>
      <c r="I92" s="1" t="s">
        <v>50</v>
      </c>
      <c r="J92" s="1" t="s">
        <v>50</v>
      </c>
      <c r="K92" s="1" t="s">
        <v>55</v>
      </c>
      <c r="L92" s="1">
        <v>5</v>
      </c>
      <c r="M92" s="1">
        <v>325</v>
      </c>
      <c r="N92" s="1">
        <v>3.47</v>
      </c>
      <c r="O92" s="1">
        <v>110</v>
      </c>
      <c r="P92" s="1">
        <v>2460</v>
      </c>
      <c r="Q92" s="1">
        <v>246.45</v>
      </c>
      <c r="R92" s="1">
        <v>56</v>
      </c>
      <c r="S92" s="1">
        <v>430</v>
      </c>
      <c r="T92" s="1">
        <v>11.9</v>
      </c>
      <c r="U92" s="1">
        <v>4</v>
      </c>
    </row>
    <row r="93" spans="1:21" x14ac:dyDescent="0.35">
      <c r="A93" s="1">
        <v>92</v>
      </c>
      <c r="B93" s="1">
        <v>388</v>
      </c>
      <c r="C93" s="1" t="s">
        <v>49</v>
      </c>
      <c r="D93" s="1" t="s">
        <v>21</v>
      </c>
      <c r="E93" s="2">
        <v>76.709103353867221</v>
      </c>
      <c r="F93" s="2" t="str" cm="1">
        <f t="array" ref="F93">_xlfn.IFS(E93&lt;25,"Under 25",E93&lt;40,"Young Adulthood",E93&lt;60,"Middle Adulthood",E93&gt;=60,"Older Adulthood")</f>
        <v>Older Adulthood</v>
      </c>
      <c r="G93" s="1" t="s">
        <v>23</v>
      </c>
      <c r="H93" s="1" t="s">
        <v>50</v>
      </c>
      <c r="I93" s="1" t="s">
        <v>53</v>
      </c>
      <c r="J93" s="1" t="s">
        <v>53</v>
      </c>
      <c r="K93" s="1" t="s">
        <v>51</v>
      </c>
      <c r="L93" s="1">
        <v>1.4</v>
      </c>
      <c r="M93" s="1">
        <v>206</v>
      </c>
      <c r="N93" s="1">
        <v>3.13</v>
      </c>
      <c r="O93" s="1">
        <v>36</v>
      </c>
      <c r="P93" s="1">
        <v>1626</v>
      </c>
      <c r="Q93" s="1">
        <v>86.8</v>
      </c>
      <c r="R93" s="1">
        <v>70</v>
      </c>
      <c r="S93" s="1">
        <v>145</v>
      </c>
      <c r="T93" s="1">
        <v>12.2</v>
      </c>
      <c r="U93" s="1">
        <v>4</v>
      </c>
    </row>
    <row r="94" spans="1:21" x14ac:dyDescent="0.35">
      <c r="A94" s="1">
        <v>93</v>
      </c>
      <c r="B94" s="1">
        <v>3913</v>
      </c>
      <c r="C94" s="1" t="s">
        <v>52</v>
      </c>
      <c r="D94" s="1" t="s">
        <v>21</v>
      </c>
      <c r="E94" s="2">
        <v>36.533880903490761</v>
      </c>
      <c r="F94" s="2" t="str" cm="1">
        <f t="array" ref="F94">_xlfn.IFS(E94&lt;25,"Under 25",E94&lt;40,"Young Adulthood",E94&lt;60,"Middle Adulthood",E94&gt;=60,"Older Adulthood")</f>
        <v>Young Adulthood</v>
      </c>
      <c r="G94" s="1" t="s">
        <v>23</v>
      </c>
      <c r="H94" s="1" t="s">
        <v>53</v>
      </c>
      <c r="I94" s="1" t="s">
        <v>53</v>
      </c>
      <c r="J94" s="1" t="s">
        <v>53</v>
      </c>
      <c r="K94" s="1" t="s">
        <v>54</v>
      </c>
      <c r="L94" s="1">
        <v>1.3</v>
      </c>
      <c r="M94" s="1">
        <v>353</v>
      </c>
      <c r="N94" s="1">
        <v>3.67</v>
      </c>
      <c r="O94" s="1">
        <v>73</v>
      </c>
      <c r="P94" s="1">
        <v>2039</v>
      </c>
      <c r="Q94" s="1">
        <v>232.5</v>
      </c>
      <c r="R94" s="1">
        <v>68</v>
      </c>
      <c r="S94" s="1">
        <v>380</v>
      </c>
      <c r="T94" s="1">
        <v>11.1</v>
      </c>
      <c r="U94" s="1">
        <v>2</v>
      </c>
    </row>
    <row r="95" spans="1:21" x14ac:dyDescent="0.35">
      <c r="A95" s="1">
        <v>94</v>
      </c>
      <c r="B95" s="1">
        <v>750</v>
      </c>
      <c r="C95" s="1" t="s">
        <v>49</v>
      </c>
      <c r="D95" s="1" t="s">
        <v>21</v>
      </c>
      <c r="E95" s="2">
        <v>53.916495550992472</v>
      </c>
      <c r="F95" s="2" t="str" cm="1">
        <f t="array" ref="F95">_xlfn.IFS(E95&lt;25,"Under 25",E95&lt;40,"Young Adulthood",E95&lt;60,"Middle Adulthood",E95&gt;=60,"Older Adulthood")</f>
        <v>Middle Adulthood</v>
      </c>
      <c r="G95" s="1" t="s">
        <v>23</v>
      </c>
      <c r="H95" s="1" t="s">
        <v>53</v>
      </c>
      <c r="I95" s="1" t="s">
        <v>50</v>
      </c>
      <c r="J95" s="1" t="s">
        <v>50</v>
      </c>
      <c r="K95" s="1" t="s">
        <v>54</v>
      </c>
      <c r="L95" s="1">
        <v>3.2</v>
      </c>
      <c r="M95" s="1">
        <v>201</v>
      </c>
      <c r="N95" s="1">
        <v>3.11</v>
      </c>
      <c r="O95" s="1">
        <v>178</v>
      </c>
      <c r="P95" s="1">
        <v>1212</v>
      </c>
      <c r="Q95" s="1">
        <v>159.65</v>
      </c>
      <c r="R95" s="1">
        <v>69</v>
      </c>
      <c r="S95" s="1">
        <v>188</v>
      </c>
      <c r="T95" s="1">
        <v>11.8</v>
      </c>
      <c r="U95" s="1">
        <v>4</v>
      </c>
    </row>
    <row r="96" spans="1:21" x14ac:dyDescent="0.35">
      <c r="A96" s="1">
        <v>95</v>
      </c>
      <c r="B96" s="1">
        <v>130</v>
      </c>
      <c r="C96" s="1" t="s">
        <v>49</v>
      </c>
      <c r="D96" s="1" t="s">
        <v>26</v>
      </c>
      <c r="E96" s="2">
        <v>46.390143737166326</v>
      </c>
      <c r="F96" s="2" t="str" cm="1">
        <f t="array" ref="F96">_xlfn.IFS(E96&lt;25,"Under 25",E96&lt;40,"Young Adulthood",E96&lt;60,"Middle Adulthood",E96&gt;=60,"Older Adulthood")</f>
        <v>Middle Adulthood</v>
      </c>
      <c r="G96" s="1" t="s">
        <v>23</v>
      </c>
      <c r="H96" s="1" t="s">
        <v>50</v>
      </c>
      <c r="I96" s="1" t="s">
        <v>50</v>
      </c>
      <c r="J96" s="1" t="s">
        <v>50</v>
      </c>
      <c r="K96" s="1" t="s">
        <v>51</v>
      </c>
      <c r="L96" s="1">
        <v>17.399999999999999</v>
      </c>
      <c r="M96" s="1">
        <v>309.5</v>
      </c>
      <c r="N96" s="1">
        <v>2.64</v>
      </c>
      <c r="O96" s="1">
        <v>182</v>
      </c>
      <c r="P96" s="1">
        <v>559</v>
      </c>
      <c r="Q96" s="1">
        <v>119.35</v>
      </c>
      <c r="R96" s="1">
        <v>108</v>
      </c>
      <c r="S96" s="1">
        <v>401</v>
      </c>
      <c r="T96" s="1">
        <v>11.7</v>
      </c>
      <c r="U96" s="1">
        <v>2</v>
      </c>
    </row>
    <row r="97" spans="1:21" x14ac:dyDescent="0.35">
      <c r="A97" s="1">
        <v>96</v>
      </c>
      <c r="B97" s="1">
        <v>3850</v>
      </c>
      <c r="C97" s="1" t="s">
        <v>52</v>
      </c>
      <c r="D97" s="1" t="s">
        <v>21</v>
      </c>
      <c r="E97" s="2">
        <v>48.845995893223822</v>
      </c>
      <c r="F97" s="2" t="str" cm="1">
        <f t="array" ref="F97">_xlfn.IFS(E97&lt;25,"Under 25",E97&lt;40,"Young Adulthood",E97&lt;60,"Middle Adulthood",E97&gt;=60,"Older Adulthood")</f>
        <v>Middle Adulthood</v>
      </c>
      <c r="G97" s="1" t="s">
        <v>23</v>
      </c>
      <c r="H97" s="1" t="s">
        <v>53</v>
      </c>
      <c r="I97" s="1" t="s">
        <v>53</v>
      </c>
      <c r="J97" s="1" t="s">
        <v>53</v>
      </c>
      <c r="K97" s="1" t="s">
        <v>54</v>
      </c>
      <c r="L97" s="1">
        <v>1</v>
      </c>
      <c r="M97" s="1">
        <v>309.5</v>
      </c>
      <c r="N97" s="1">
        <v>3.7</v>
      </c>
      <c r="O97" s="1">
        <v>33</v>
      </c>
      <c r="P97" s="1">
        <v>1258</v>
      </c>
      <c r="Q97" s="1">
        <v>99.2</v>
      </c>
      <c r="R97" s="1">
        <v>108</v>
      </c>
      <c r="S97" s="1">
        <v>338</v>
      </c>
      <c r="T97" s="1">
        <v>10.4</v>
      </c>
      <c r="U97" s="1">
        <v>3</v>
      </c>
    </row>
    <row r="98" spans="1:21" x14ac:dyDescent="0.35">
      <c r="A98" s="1">
        <v>97</v>
      </c>
      <c r="B98" s="1">
        <v>611</v>
      </c>
      <c r="C98" s="1" t="s">
        <v>49</v>
      </c>
      <c r="D98" s="1" t="s">
        <v>26</v>
      </c>
      <c r="E98" s="2">
        <v>71.893223819301852</v>
      </c>
      <c r="F98" s="2" t="str" cm="1">
        <f t="array" ref="F98">_xlfn.IFS(E98&lt;25,"Under 25",E98&lt;40,"Young Adulthood",E98&lt;60,"Middle Adulthood",E98&gt;=60,"Older Adulthood")</f>
        <v>Older Adulthood</v>
      </c>
      <c r="G98" s="1" t="s">
        <v>25</v>
      </c>
      <c r="H98" s="1" t="s">
        <v>53</v>
      </c>
      <c r="I98" s="1" t="s">
        <v>50</v>
      </c>
      <c r="J98" s="1" t="s">
        <v>53</v>
      </c>
      <c r="K98" s="1" t="s">
        <v>55</v>
      </c>
      <c r="L98" s="1">
        <v>2</v>
      </c>
      <c r="M98" s="1">
        <v>420</v>
      </c>
      <c r="N98" s="1">
        <v>3.26</v>
      </c>
      <c r="O98" s="1">
        <v>62</v>
      </c>
      <c r="P98" s="1">
        <v>3196</v>
      </c>
      <c r="Q98" s="1">
        <v>77.5</v>
      </c>
      <c r="R98" s="1">
        <v>91</v>
      </c>
      <c r="S98" s="1">
        <v>344</v>
      </c>
      <c r="T98" s="1">
        <v>11.4</v>
      </c>
      <c r="U98" s="1">
        <v>3</v>
      </c>
    </row>
    <row r="99" spans="1:21" x14ac:dyDescent="0.35">
      <c r="A99" s="1">
        <v>98</v>
      </c>
      <c r="B99" s="1">
        <v>3823</v>
      </c>
      <c r="C99" s="1" t="s">
        <v>52</v>
      </c>
      <c r="D99" s="1" t="s">
        <v>21</v>
      </c>
      <c r="E99" s="2">
        <v>28.884325804243669</v>
      </c>
      <c r="F99" s="2" t="str" cm="1">
        <f t="array" ref="F99">_xlfn.IFS(E99&lt;25,"Under 25",E99&lt;40,"Young Adulthood",E99&lt;60,"Middle Adulthood",E99&gt;=60,"Older Adulthood")</f>
        <v>Young Adulthood</v>
      </c>
      <c r="G99" s="1" t="s">
        <v>23</v>
      </c>
      <c r="H99" s="1" t="s">
        <v>53</v>
      </c>
      <c r="I99" s="1" t="s">
        <v>53</v>
      </c>
      <c r="J99" s="1" t="s">
        <v>53</v>
      </c>
      <c r="K99" s="1" t="s">
        <v>54</v>
      </c>
      <c r="L99" s="1">
        <v>1</v>
      </c>
      <c r="M99" s="1">
        <v>239</v>
      </c>
      <c r="N99" s="1">
        <v>3.77</v>
      </c>
      <c r="O99" s="1">
        <v>77</v>
      </c>
      <c r="P99" s="1">
        <v>1877</v>
      </c>
      <c r="Q99" s="1">
        <v>97.65</v>
      </c>
      <c r="R99" s="1">
        <v>101</v>
      </c>
      <c r="S99" s="1">
        <v>312</v>
      </c>
      <c r="T99" s="1">
        <v>10.199999999999999</v>
      </c>
      <c r="U99" s="1">
        <v>1</v>
      </c>
    </row>
    <row r="100" spans="1:21" x14ac:dyDescent="0.35">
      <c r="A100" s="1">
        <v>99</v>
      </c>
      <c r="B100" s="1">
        <v>3820</v>
      </c>
      <c r="C100" s="1" t="s">
        <v>52</v>
      </c>
      <c r="D100" s="1" t="s">
        <v>26</v>
      </c>
      <c r="E100" s="2">
        <v>48.468172484599592</v>
      </c>
      <c r="F100" s="2" t="str" cm="1">
        <f t="array" ref="F100">_xlfn.IFS(E100&lt;25,"Under 25",E100&lt;40,"Young Adulthood",E100&lt;60,"Middle Adulthood",E100&gt;=60,"Older Adulthood")</f>
        <v>Middle Adulthood</v>
      </c>
      <c r="G100" s="1" t="s">
        <v>25</v>
      </c>
      <c r="H100" s="1" t="s">
        <v>53</v>
      </c>
      <c r="I100" s="1" t="s">
        <v>53</v>
      </c>
      <c r="J100" s="1" t="s">
        <v>53</v>
      </c>
      <c r="K100" s="1" t="s">
        <v>54</v>
      </c>
      <c r="L100" s="1">
        <v>1.8</v>
      </c>
      <c r="M100" s="1">
        <v>460</v>
      </c>
      <c r="N100" s="1">
        <v>3.35</v>
      </c>
      <c r="O100" s="1">
        <v>148</v>
      </c>
      <c r="P100" s="1">
        <v>1472</v>
      </c>
      <c r="Q100" s="1">
        <v>108.5</v>
      </c>
      <c r="R100" s="1">
        <v>118</v>
      </c>
      <c r="S100" s="1">
        <v>172</v>
      </c>
      <c r="T100" s="1">
        <v>10.199999999999999</v>
      </c>
      <c r="U100" s="1">
        <v>2</v>
      </c>
    </row>
    <row r="101" spans="1:21" x14ac:dyDescent="0.35">
      <c r="A101" s="1">
        <v>100</v>
      </c>
      <c r="B101" s="1">
        <v>552</v>
      </c>
      <c r="C101" s="1" t="s">
        <v>49</v>
      </c>
      <c r="D101" s="1" t="s">
        <v>26</v>
      </c>
      <c r="E101" s="2">
        <v>51.468856947296374</v>
      </c>
      <c r="F101" s="2" t="str" cm="1">
        <f t="array" ref="F101">_xlfn.IFS(E101&lt;25,"Under 25",E101&lt;40,"Young Adulthood",E101&lt;60,"Middle Adulthood",E101&gt;=60,"Older Adulthood")</f>
        <v>Middle Adulthood</v>
      </c>
      <c r="G101" s="1" t="s">
        <v>25</v>
      </c>
      <c r="H101" s="1" t="s">
        <v>53</v>
      </c>
      <c r="I101" s="1" t="s">
        <v>50</v>
      </c>
      <c r="J101" s="1" t="s">
        <v>53</v>
      </c>
      <c r="K101" s="1" t="s">
        <v>54</v>
      </c>
      <c r="L101" s="1">
        <v>2.2999999999999998</v>
      </c>
      <c r="M101" s="1">
        <v>178</v>
      </c>
      <c r="N101" s="1">
        <v>3</v>
      </c>
      <c r="O101" s="1">
        <v>145</v>
      </c>
      <c r="P101" s="1">
        <v>746</v>
      </c>
      <c r="Q101" s="1">
        <v>178.25</v>
      </c>
      <c r="R101" s="1">
        <v>122</v>
      </c>
      <c r="S101" s="1">
        <v>119</v>
      </c>
      <c r="T101" s="1">
        <v>12</v>
      </c>
      <c r="U101" s="1">
        <v>4</v>
      </c>
    </row>
    <row r="102" spans="1:21" x14ac:dyDescent="0.35">
      <c r="A102" s="1">
        <v>101</v>
      </c>
      <c r="B102" s="1">
        <v>3581</v>
      </c>
      <c r="C102" s="1" t="s">
        <v>52</v>
      </c>
      <c r="D102" s="1" t="s">
        <v>26</v>
      </c>
      <c r="E102" s="2">
        <v>44.950034223134843</v>
      </c>
      <c r="F102" s="2" t="str" cm="1">
        <f t="array" ref="F102">_xlfn.IFS(E102&lt;25,"Under 25",E102&lt;40,"Young Adulthood",E102&lt;60,"Middle Adulthood",E102&gt;=60,"Older Adulthood")</f>
        <v>Middle Adulthood</v>
      </c>
      <c r="G102" s="1" t="s">
        <v>23</v>
      </c>
      <c r="H102" s="1" t="s">
        <v>53</v>
      </c>
      <c r="I102" s="1" t="s">
        <v>53</v>
      </c>
      <c r="J102" s="1" t="s">
        <v>53</v>
      </c>
      <c r="K102" s="1" t="s">
        <v>54</v>
      </c>
      <c r="L102" s="1">
        <v>0.9</v>
      </c>
      <c r="M102" s="1">
        <v>400</v>
      </c>
      <c r="N102" s="1">
        <v>3.6</v>
      </c>
      <c r="O102" s="1">
        <v>31</v>
      </c>
      <c r="P102" s="1">
        <v>1689</v>
      </c>
      <c r="Q102" s="1">
        <v>164.3</v>
      </c>
      <c r="R102" s="1">
        <v>166</v>
      </c>
      <c r="S102" s="1">
        <v>327</v>
      </c>
      <c r="T102" s="1">
        <v>10.4</v>
      </c>
      <c r="U102" s="1">
        <v>3</v>
      </c>
    </row>
    <row r="103" spans="1:21" x14ac:dyDescent="0.35">
      <c r="A103" s="1">
        <v>102</v>
      </c>
      <c r="B103" s="1">
        <v>3099</v>
      </c>
      <c r="C103" s="1" t="s">
        <v>52</v>
      </c>
      <c r="D103" s="1" t="s">
        <v>21</v>
      </c>
      <c r="E103" s="2">
        <v>56.569472963723477</v>
      </c>
      <c r="F103" s="2" t="str" cm="1">
        <f t="array" ref="F103">_xlfn.IFS(E103&lt;25,"Under 25",E103&lt;40,"Young Adulthood",E103&lt;60,"Middle Adulthood",E103&gt;=60,"Older Adulthood")</f>
        <v>Middle Adulthood</v>
      </c>
      <c r="G103" s="1" t="s">
        <v>23</v>
      </c>
      <c r="H103" s="1" t="s">
        <v>53</v>
      </c>
      <c r="I103" s="1" t="s">
        <v>53</v>
      </c>
      <c r="J103" s="1" t="s">
        <v>53</v>
      </c>
      <c r="K103" s="1" t="s">
        <v>54</v>
      </c>
      <c r="L103" s="1">
        <v>0.9</v>
      </c>
      <c r="M103" s="1">
        <v>248</v>
      </c>
      <c r="N103" s="1">
        <v>3.97</v>
      </c>
      <c r="O103" s="1">
        <v>172</v>
      </c>
      <c r="P103" s="1">
        <v>646</v>
      </c>
      <c r="Q103" s="1">
        <v>62</v>
      </c>
      <c r="R103" s="1">
        <v>84</v>
      </c>
      <c r="S103" s="1">
        <v>128</v>
      </c>
      <c r="T103" s="1">
        <v>10.1</v>
      </c>
      <c r="U103" s="1">
        <v>1</v>
      </c>
    </row>
    <row r="104" spans="1:21" x14ac:dyDescent="0.35">
      <c r="A104" s="1">
        <v>103</v>
      </c>
      <c r="B104" s="1">
        <v>110</v>
      </c>
      <c r="C104" s="1" t="s">
        <v>49</v>
      </c>
      <c r="D104" s="1" t="s">
        <v>26</v>
      </c>
      <c r="E104" s="2">
        <v>48.963723477070502</v>
      </c>
      <c r="F104" s="2" t="str" cm="1">
        <f t="array" ref="F104">_xlfn.IFS(E104&lt;25,"Under 25",E104&lt;40,"Young Adulthood",E104&lt;60,"Middle Adulthood",E104&gt;=60,"Older Adulthood")</f>
        <v>Middle Adulthood</v>
      </c>
      <c r="G104" s="1" t="s">
        <v>23</v>
      </c>
      <c r="H104" s="1" t="s">
        <v>50</v>
      </c>
      <c r="I104" s="1" t="s">
        <v>50</v>
      </c>
      <c r="J104" s="1" t="s">
        <v>50</v>
      </c>
      <c r="K104" s="1" t="s">
        <v>51</v>
      </c>
      <c r="L104" s="1">
        <v>2.5</v>
      </c>
      <c r="M104" s="1">
        <v>188</v>
      </c>
      <c r="N104" s="1">
        <v>3.67</v>
      </c>
      <c r="O104" s="1">
        <v>57</v>
      </c>
      <c r="P104" s="1">
        <v>1273</v>
      </c>
      <c r="Q104" s="1">
        <v>119.35</v>
      </c>
      <c r="R104" s="1">
        <v>102</v>
      </c>
      <c r="S104" s="1">
        <v>110</v>
      </c>
      <c r="T104" s="1">
        <v>11.1</v>
      </c>
      <c r="U104" s="1">
        <v>4</v>
      </c>
    </row>
    <row r="105" spans="1:21" x14ac:dyDescent="0.35">
      <c r="A105" s="1">
        <v>104</v>
      </c>
      <c r="B105" s="1">
        <v>3086</v>
      </c>
      <c r="C105" s="1" t="s">
        <v>49</v>
      </c>
      <c r="D105" s="1" t="s">
        <v>21</v>
      </c>
      <c r="E105" s="2">
        <v>43.017111567419576</v>
      </c>
      <c r="F105" s="2" t="str" cm="1">
        <f t="array" ref="F105">_xlfn.IFS(E105&lt;25,"Under 25",E105&lt;40,"Young Adulthood",E105&lt;60,"Middle Adulthood",E105&gt;=60,"Older Adulthood")</f>
        <v>Middle Adulthood</v>
      </c>
      <c r="G105" s="1" t="s">
        <v>23</v>
      </c>
      <c r="H105" s="1" t="s">
        <v>53</v>
      </c>
      <c r="I105" s="1" t="s">
        <v>53</v>
      </c>
      <c r="J105" s="1" t="s">
        <v>53</v>
      </c>
      <c r="K105" s="1" t="s">
        <v>54</v>
      </c>
      <c r="L105" s="1">
        <v>1.1000000000000001</v>
      </c>
      <c r="M105" s="1">
        <v>303</v>
      </c>
      <c r="N105" s="1">
        <v>3.64</v>
      </c>
      <c r="O105" s="1">
        <v>20</v>
      </c>
      <c r="P105" s="1">
        <v>2108</v>
      </c>
      <c r="Q105" s="1">
        <v>128.65</v>
      </c>
      <c r="R105" s="1">
        <v>53</v>
      </c>
      <c r="S105" s="1">
        <v>349</v>
      </c>
      <c r="T105" s="1">
        <v>11.1</v>
      </c>
      <c r="U105" s="1">
        <v>2</v>
      </c>
    </row>
    <row r="106" spans="1:21" x14ac:dyDescent="0.35">
      <c r="A106" s="1">
        <v>105</v>
      </c>
      <c r="B106" s="1">
        <v>3092</v>
      </c>
      <c r="C106" s="1" t="s">
        <v>56</v>
      </c>
      <c r="D106" s="1" t="s">
        <v>26</v>
      </c>
      <c r="E106" s="2">
        <v>34.039698836413415</v>
      </c>
      <c r="F106" s="2" t="str" cm="1">
        <f t="array" ref="F106">_xlfn.IFS(E106&lt;25,"Under 25",E106&lt;40,"Young Adulthood",E106&lt;60,"Middle Adulthood",E106&gt;=60,"Older Adulthood")</f>
        <v>Young Adulthood</v>
      </c>
      <c r="G106" s="1" t="s">
        <v>23</v>
      </c>
      <c r="H106" s="1" t="s">
        <v>53</v>
      </c>
      <c r="I106" s="1" t="s">
        <v>50</v>
      </c>
      <c r="J106" s="1" t="s">
        <v>53</v>
      </c>
      <c r="K106" s="1" t="s">
        <v>54</v>
      </c>
      <c r="L106" s="1">
        <v>1.1000000000000001</v>
      </c>
      <c r="M106" s="1">
        <v>464</v>
      </c>
      <c r="N106" s="1">
        <v>4.2</v>
      </c>
      <c r="O106" s="1">
        <v>38</v>
      </c>
      <c r="P106" s="1">
        <v>1644</v>
      </c>
      <c r="Q106" s="1">
        <v>151.9</v>
      </c>
      <c r="R106" s="1">
        <v>102</v>
      </c>
      <c r="S106" s="1">
        <v>348</v>
      </c>
      <c r="T106" s="1">
        <v>10.3</v>
      </c>
      <c r="U106" s="1">
        <v>3</v>
      </c>
    </row>
    <row r="107" spans="1:21" x14ac:dyDescent="0.35">
      <c r="A107" s="1">
        <v>106</v>
      </c>
      <c r="B107" s="1">
        <v>3222</v>
      </c>
      <c r="C107" s="1" t="s">
        <v>49</v>
      </c>
      <c r="D107" s="1" t="s">
        <v>21</v>
      </c>
      <c r="E107" s="2">
        <v>68.509240246406577</v>
      </c>
      <c r="F107" s="2" t="str" cm="1">
        <f t="array" ref="F107">_xlfn.IFS(E107&lt;25,"Under 25",E107&lt;40,"Young Adulthood",E107&lt;60,"Middle Adulthood",E107&gt;=60,"Older Adulthood")</f>
        <v>Older Adulthood</v>
      </c>
      <c r="G107" s="1" t="s">
        <v>23</v>
      </c>
      <c r="H107" s="1" t="s">
        <v>50</v>
      </c>
      <c r="I107" s="1" t="s">
        <v>50</v>
      </c>
      <c r="J107" s="1" t="s">
        <v>53</v>
      </c>
      <c r="K107" s="1" t="s">
        <v>54</v>
      </c>
      <c r="L107" s="1">
        <v>2.1</v>
      </c>
      <c r="M107" s="1">
        <v>309.5</v>
      </c>
      <c r="N107" s="1">
        <v>3.9</v>
      </c>
      <c r="O107" s="1">
        <v>50</v>
      </c>
      <c r="P107" s="1">
        <v>1087</v>
      </c>
      <c r="Q107" s="1">
        <v>103.85</v>
      </c>
      <c r="R107" s="1">
        <v>108</v>
      </c>
      <c r="S107" s="1">
        <v>137</v>
      </c>
      <c r="T107" s="1">
        <v>10.6</v>
      </c>
      <c r="U107" s="1">
        <v>2</v>
      </c>
    </row>
    <row r="108" spans="1:21" x14ac:dyDescent="0.35">
      <c r="A108" s="1">
        <v>107</v>
      </c>
      <c r="B108" s="1">
        <v>3388</v>
      </c>
      <c r="C108" s="1" t="s">
        <v>52</v>
      </c>
      <c r="D108" s="1" t="s">
        <v>26</v>
      </c>
      <c r="E108" s="2">
        <v>62.521560574948666</v>
      </c>
      <c r="F108" s="2" t="str" cm="1">
        <f t="array" ref="F108">_xlfn.IFS(E108&lt;25,"Under 25",E108&lt;40,"Young Adulthood",E108&lt;60,"Middle Adulthood",E108&gt;=60,"Older Adulthood")</f>
        <v>Older Adulthood</v>
      </c>
      <c r="G108" s="1" t="s">
        <v>23</v>
      </c>
      <c r="H108" s="1" t="s">
        <v>53</v>
      </c>
      <c r="I108" s="1" t="s">
        <v>53</v>
      </c>
      <c r="J108" s="1" t="s">
        <v>53</v>
      </c>
      <c r="K108" s="1" t="s">
        <v>54</v>
      </c>
      <c r="L108" s="1">
        <v>0.6</v>
      </c>
      <c r="M108" s="1">
        <v>212</v>
      </c>
      <c r="N108" s="1">
        <v>4.03</v>
      </c>
      <c r="O108" s="1">
        <v>10</v>
      </c>
      <c r="P108" s="1">
        <v>648</v>
      </c>
      <c r="Q108" s="1">
        <v>71.3</v>
      </c>
      <c r="R108" s="1">
        <v>77</v>
      </c>
      <c r="S108" s="1">
        <v>316</v>
      </c>
      <c r="T108" s="1">
        <v>17.100000000000001</v>
      </c>
      <c r="U108" s="1">
        <v>1</v>
      </c>
    </row>
    <row r="109" spans="1:21" x14ac:dyDescent="0.35">
      <c r="A109" s="1">
        <v>108</v>
      </c>
      <c r="B109" s="1">
        <v>2583</v>
      </c>
      <c r="C109" s="1" t="s">
        <v>49</v>
      </c>
      <c r="D109" s="1" t="s">
        <v>21</v>
      </c>
      <c r="E109" s="2">
        <v>50.357289527720738</v>
      </c>
      <c r="F109" s="2" t="str" cm="1">
        <f t="array" ref="F109">_xlfn.IFS(E109&lt;25,"Under 25",E109&lt;40,"Young Adulthood",E109&lt;60,"Middle Adulthood",E109&gt;=60,"Older Adulthood")</f>
        <v>Middle Adulthood</v>
      </c>
      <c r="G109" s="1" t="s">
        <v>23</v>
      </c>
      <c r="H109" s="1" t="s">
        <v>53</v>
      </c>
      <c r="I109" s="1" t="s">
        <v>53</v>
      </c>
      <c r="J109" s="1" t="s">
        <v>53</v>
      </c>
      <c r="K109" s="1" t="s">
        <v>54</v>
      </c>
      <c r="L109" s="1">
        <v>0.4</v>
      </c>
      <c r="M109" s="1">
        <v>127</v>
      </c>
      <c r="N109" s="1">
        <v>3.5</v>
      </c>
      <c r="O109" s="1">
        <v>14</v>
      </c>
      <c r="P109" s="1">
        <v>1062</v>
      </c>
      <c r="Q109" s="1">
        <v>49.6</v>
      </c>
      <c r="R109" s="1">
        <v>84</v>
      </c>
      <c r="S109" s="1">
        <v>334</v>
      </c>
      <c r="T109" s="1">
        <v>10.3</v>
      </c>
      <c r="U109" s="1">
        <v>2</v>
      </c>
    </row>
    <row r="110" spans="1:21" x14ac:dyDescent="0.35">
      <c r="A110" s="1">
        <v>109</v>
      </c>
      <c r="B110" s="1">
        <v>2504</v>
      </c>
      <c r="C110" s="1" t="s">
        <v>52</v>
      </c>
      <c r="D110" s="1" t="s">
        <v>26</v>
      </c>
      <c r="E110" s="2">
        <v>44.062970568104035</v>
      </c>
      <c r="F110" s="2" t="str" cm="1">
        <f t="array" ref="F110">_xlfn.IFS(E110&lt;25,"Under 25",E110&lt;40,"Young Adulthood",E110&lt;60,"Middle Adulthood",E110&gt;=60,"Older Adulthood")</f>
        <v>Middle Adulthood</v>
      </c>
      <c r="G110" s="1" t="s">
        <v>23</v>
      </c>
      <c r="H110" s="1" t="s">
        <v>53</v>
      </c>
      <c r="I110" s="1" t="s">
        <v>53</v>
      </c>
      <c r="J110" s="1" t="s">
        <v>53</v>
      </c>
      <c r="K110" s="1" t="s">
        <v>54</v>
      </c>
      <c r="L110" s="1">
        <v>0.5</v>
      </c>
      <c r="M110" s="1">
        <v>120</v>
      </c>
      <c r="N110" s="1">
        <v>3.61</v>
      </c>
      <c r="O110" s="1">
        <v>53</v>
      </c>
      <c r="P110" s="1">
        <v>804</v>
      </c>
      <c r="Q110" s="1">
        <v>110.05</v>
      </c>
      <c r="R110" s="1">
        <v>52</v>
      </c>
      <c r="S110" s="1">
        <v>271</v>
      </c>
      <c r="T110" s="1">
        <v>10.6</v>
      </c>
      <c r="U110" s="1">
        <v>3</v>
      </c>
    </row>
    <row r="111" spans="1:21" x14ac:dyDescent="0.35">
      <c r="A111" s="1">
        <v>110</v>
      </c>
      <c r="B111" s="1">
        <v>2105</v>
      </c>
      <c r="C111" s="1" t="s">
        <v>49</v>
      </c>
      <c r="D111" s="1" t="s">
        <v>21</v>
      </c>
      <c r="E111" s="2">
        <v>38.910335386721421</v>
      </c>
      <c r="F111" s="2" t="str" cm="1">
        <f t="array" ref="F111">_xlfn.IFS(E111&lt;25,"Under 25",E111&lt;40,"Young Adulthood",E111&lt;60,"Middle Adulthood",E111&gt;=60,"Older Adulthood")</f>
        <v>Young Adulthood</v>
      </c>
      <c r="G111" s="1" t="s">
        <v>23</v>
      </c>
      <c r="H111" s="1" t="s">
        <v>53</v>
      </c>
      <c r="I111" s="1" t="s">
        <v>50</v>
      </c>
      <c r="J111" s="1" t="s">
        <v>50</v>
      </c>
      <c r="K111" s="1" t="s">
        <v>54</v>
      </c>
      <c r="L111" s="1">
        <v>1.9</v>
      </c>
      <c r="M111" s="1">
        <v>486</v>
      </c>
      <c r="N111" s="1">
        <v>3.54</v>
      </c>
      <c r="O111" s="1">
        <v>74</v>
      </c>
      <c r="P111" s="1">
        <v>1052</v>
      </c>
      <c r="Q111" s="1">
        <v>108.5</v>
      </c>
      <c r="R111" s="1">
        <v>109</v>
      </c>
      <c r="S111" s="1">
        <v>141</v>
      </c>
      <c r="T111" s="1">
        <v>10.9</v>
      </c>
      <c r="U111" s="1">
        <v>3</v>
      </c>
    </row>
    <row r="112" spans="1:21" x14ac:dyDescent="0.35">
      <c r="A112" s="1">
        <v>111</v>
      </c>
      <c r="B112" s="1">
        <v>2350</v>
      </c>
      <c r="C112" s="1" t="s">
        <v>56</v>
      </c>
      <c r="D112" s="1" t="s">
        <v>21</v>
      </c>
      <c r="E112" s="2">
        <v>41.152635181382614</v>
      </c>
      <c r="F112" s="2" t="str" cm="1">
        <f t="array" ref="F112">_xlfn.IFS(E112&lt;25,"Under 25",E112&lt;40,"Young Adulthood",E112&lt;60,"Middle Adulthood",E112&gt;=60,"Older Adulthood")</f>
        <v>Middle Adulthood</v>
      </c>
      <c r="G112" s="1" t="s">
        <v>23</v>
      </c>
      <c r="H112" s="1" t="s">
        <v>53</v>
      </c>
      <c r="I112" s="1" t="s">
        <v>53</v>
      </c>
      <c r="J112" s="1" t="s">
        <v>53</v>
      </c>
      <c r="K112" s="1" t="s">
        <v>54</v>
      </c>
      <c r="L112" s="1">
        <v>5.5</v>
      </c>
      <c r="M112" s="1">
        <v>528</v>
      </c>
      <c r="N112" s="1">
        <v>4.18</v>
      </c>
      <c r="O112" s="1">
        <v>77</v>
      </c>
      <c r="P112" s="1">
        <v>2404</v>
      </c>
      <c r="Q112" s="1">
        <v>172.05</v>
      </c>
      <c r="R112" s="1">
        <v>78</v>
      </c>
      <c r="S112" s="1">
        <v>467</v>
      </c>
      <c r="T112" s="1">
        <v>10.7</v>
      </c>
      <c r="U112" s="1">
        <v>3</v>
      </c>
    </row>
    <row r="113" spans="1:21" x14ac:dyDescent="0.35">
      <c r="A113" s="1">
        <v>112</v>
      </c>
      <c r="B113" s="1">
        <v>3445</v>
      </c>
      <c r="C113" s="1" t="s">
        <v>49</v>
      </c>
      <c r="D113" s="1" t="s">
        <v>26</v>
      </c>
      <c r="E113" s="2">
        <v>55.457905544147842</v>
      </c>
      <c r="F113" s="2" t="str" cm="1">
        <f t="array" ref="F113">_xlfn.IFS(E113&lt;25,"Under 25",E113&lt;40,"Young Adulthood",E113&lt;60,"Middle Adulthood",E113&gt;=60,"Older Adulthood")</f>
        <v>Middle Adulthood</v>
      </c>
      <c r="G113" s="1" t="s">
        <v>23</v>
      </c>
      <c r="H113" s="1" t="s">
        <v>53</v>
      </c>
      <c r="I113" s="1" t="s">
        <v>50</v>
      </c>
      <c r="J113" s="1" t="s">
        <v>50</v>
      </c>
      <c r="K113" s="1" t="s">
        <v>54</v>
      </c>
      <c r="L113" s="1">
        <v>2</v>
      </c>
      <c r="M113" s="1">
        <v>267</v>
      </c>
      <c r="N113" s="1">
        <v>3.67</v>
      </c>
      <c r="O113" s="1">
        <v>89</v>
      </c>
      <c r="P113" s="1">
        <v>754</v>
      </c>
      <c r="Q113" s="1">
        <v>196.85</v>
      </c>
      <c r="R113" s="1">
        <v>90</v>
      </c>
      <c r="S113" s="1">
        <v>136</v>
      </c>
      <c r="T113" s="1">
        <v>11.8</v>
      </c>
      <c r="U113" s="1">
        <v>4</v>
      </c>
    </row>
    <row r="114" spans="1:21" x14ac:dyDescent="0.35">
      <c r="A114" s="1">
        <v>113</v>
      </c>
      <c r="B114" s="1">
        <v>980</v>
      </c>
      <c r="C114" s="1" t="s">
        <v>49</v>
      </c>
      <c r="D114" s="1" t="s">
        <v>21</v>
      </c>
      <c r="E114" s="2">
        <v>51.233401779603014</v>
      </c>
      <c r="F114" s="2" t="str" cm="1">
        <f t="array" ref="F114">_xlfn.IFS(E114&lt;25,"Under 25",E114&lt;40,"Young Adulthood",E114&lt;60,"Middle Adulthood",E114&gt;=60,"Older Adulthood")</f>
        <v>Middle Adulthood</v>
      </c>
      <c r="G114" s="1" t="s">
        <v>23</v>
      </c>
      <c r="H114" s="1" t="s">
        <v>53</v>
      </c>
      <c r="I114" s="1" t="s">
        <v>50</v>
      </c>
      <c r="J114" s="1" t="s">
        <v>50</v>
      </c>
      <c r="K114" s="1" t="s">
        <v>54</v>
      </c>
      <c r="L114" s="1">
        <v>6.7</v>
      </c>
      <c r="M114" s="1">
        <v>374</v>
      </c>
      <c r="N114" s="1">
        <v>3.74</v>
      </c>
      <c r="O114" s="1">
        <v>103</v>
      </c>
      <c r="P114" s="1">
        <v>979</v>
      </c>
      <c r="Q114" s="1">
        <v>128.65</v>
      </c>
      <c r="R114" s="1">
        <v>100</v>
      </c>
      <c r="S114" s="1">
        <v>266</v>
      </c>
      <c r="T114" s="1">
        <v>11.1</v>
      </c>
      <c r="U114" s="1">
        <v>4</v>
      </c>
    </row>
    <row r="115" spans="1:21" x14ac:dyDescent="0.35">
      <c r="A115" s="1">
        <v>114</v>
      </c>
      <c r="B115" s="1">
        <v>3395</v>
      </c>
      <c r="C115" s="1" t="s">
        <v>49</v>
      </c>
      <c r="D115" s="1" t="s">
        <v>26</v>
      </c>
      <c r="E115" s="2">
        <v>52.826830937713893</v>
      </c>
      <c r="F115" s="2" t="str" cm="1">
        <f t="array" ref="F115">_xlfn.IFS(E115&lt;25,"Under 25",E115&lt;40,"Young Adulthood",E115&lt;60,"Middle Adulthood",E115&gt;=60,"Older Adulthood")</f>
        <v>Middle Adulthood</v>
      </c>
      <c r="G115" s="1" t="s">
        <v>25</v>
      </c>
      <c r="H115" s="1" t="s">
        <v>53</v>
      </c>
      <c r="I115" s="1" t="s">
        <v>53</v>
      </c>
      <c r="J115" s="1" t="s">
        <v>53</v>
      </c>
      <c r="K115" s="1" t="s">
        <v>54</v>
      </c>
      <c r="L115" s="1">
        <v>3.2</v>
      </c>
      <c r="M115" s="1">
        <v>259</v>
      </c>
      <c r="N115" s="1">
        <v>4.3</v>
      </c>
      <c r="O115" s="1">
        <v>208</v>
      </c>
      <c r="P115" s="1">
        <v>1040</v>
      </c>
      <c r="Q115" s="1">
        <v>110.05</v>
      </c>
      <c r="R115" s="1">
        <v>78</v>
      </c>
      <c r="S115" s="1">
        <v>268</v>
      </c>
      <c r="T115" s="1">
        <v>11.7</v>
      </c>
      <c r="U115" s="1">
        <v>3</v>
      </c>
    </row>
    <row r="116" spans="1:21" x14ac:dyDescent="0.35">
      <c r="A116" s="1">
        <v>115</v>
      </c>
      <c r="B116" s="1">
        <v>3422</v>
      </c>
      <c r="C116" s="1" t="s">
        <v>52</v>
      </c>
      <c r="D116" s="1" t="s">
        <v>26</v>
      </c>
      <c r="E116" s="2">
        <v>42.639288158795345</v>
      </c>
      <c r="F116" s="2" t="str" cm="1">
        <f t="array" ref="F116">_xlfn.IFS(E116&lt;25,"Under 25",E116&lt;40,"Young Adulthood",E116&lt;60,"Middle Adulthood",E116&gt;=60,"Older Adulthood")</f>
        <v>Middle Adulthood</v>
      </c>
      <c r="G116" s="1" t="s">
        <v>23</v>
      </c>
      <c r="H116" s="1" t="s">
        <v>53</v>
      </c>
      <c r="I116" s="1" t="s">
        <v>53</v>
      </c>
      <c r="J116" s="1" t="s">
        <v>50</v>
      </c>
      <c r="K116" s="1" t="s">
        <v>54</v>
      </c>
      <c r="L116" s="1">
        <v>0.7</v>
      </c>
      <c r="M116" s="1">
        <v>303</v>
      </c>
      <c r="N116" s="1">
        <v>4.1900000000000004</v>
      </c>
      <c r="O116" s="1">
        <v>81</v>
      </c>
      <c r="P116" s="1">
        <v>1584</v>
      </c>
      <c r="Q116" s="1">
        <v>111.6</v>
      </c>
      <c r="R116" s="1">
        <v>156</v>
      </c>
      <c r="S116" s="1">
        <v>307</v>
      </c>
      <c r="T116" s="1">
        <v>10.3</v>
      </c>
      <c r="U116" s="1">
        <v>3</v>
      </c>
    </row>
    <row r="117" spans="1:21" x14ac:dyDescent="0.35">
      <c r="A117" s="1">
        <v>116</v>
      </c>
      <c r="B117" s="1">
        <v>3336</v>
      </c>
      <c r="C117" s="1" t="s">
        <v>52</v>
      </c>
      <c r="D117" s="1" t="s">
        <v>21</v>
      </c>
      <c r="E117" s="2">
        <v>61.07049965776865</v>
      </c>
      <c r="F117" s="2" t="str" cm="1">
        <f t="array" ref="F117">_xlfn.IFS(E117&lt;25,"Under 25",E117&lt;40,"Young Adulthood",E117&lt;60,"Middle Adulthood",E117&gt;=60,"Older Adulthood")</f>
        <v>Older Adulthood</v>
      </c>
      <c r="G117" s="1" t="s">
        <v>23</v>
      </c>
      <c r="H117" s="1" t="s">
        <v>53</v>
      </c>
      <c r="I117" s="1" t="s">
        <v>53</v>
      </c>
      <c r="J117" s="1" t="s">
        <v>50</v>
      </c>
      <c r="K117" s="1" t="s">
        <v>55</v>
      </c>
      <c r="L117" s="1">
        <v>3</v>
      </c>
      <c r="M117" s="1">
        <v>458</v>
      </c>
      <c r="N117" s="1">
        <v>3.63</v>
      </c>
      <c r="O117" s="1">
        <v>74</v>
      </c>
      <c r="P117" s="1">
        <v>1588</v>
      </c>
      <c r="Q117" s="1">
        <v>106.95</v>
      </c>
      <c r="R117" s="1">
        <v>382</v>
      </c>
      <c r="S117" s="1">
        <v>438</v>
      </c>
      <c r="T117" s="1">
        <v>9.9</v>
      </c>
      <c r="U117" s="1">
        <v>3</v>
      </c>
    </row>
    <row r="118" spans="1:21" x14ac:dyDescent="0.35">
      <c r="A118" s="1">
        <v>117</v>
      </c>
      <c r="B118" s="1">
        <v>1083</v>
      </c>
      <c r="C118" s="1" t="s">
        <v>49</v>
      </c>
      <c r="D118" s="1" t="s">
        <v>21</v>
      </c>
      <c r="E118" s="2">
        <v>49.656399726214921</v>
      </c>
      <c r="F118" s="2" t="str" cm="1">
        <f t="array" ref="F118">_xlfn.IFS(E118&lt;25,"Under 25",E118&lt;40,"Young Adulthood",E118&lt;60,"Middle Adulthood",E118&gt;=60,"Older Adulthood")</f>
        <v>Middle Adulthood</v>
      </c>
      <c r="G118" s="1" t="s">
        <v>23</v>
      </c>
      <c r="H118" s="1" t="s">
        <v>53</v>
      </c>
      <c r="I118" s="1" t="s">
        <v>50</v>
      </c>
      <c r="J118" s="1" t="s">
        <v>50</v>
      </c>
      <c r="K118" s="1" t="s">
        <v>54</v>
      </c>
      <c r="L118" s="1">
        <v>6.5</v>
      </c>
      <c r="M118" s="1">
        <v>950</v>
      </c>
      <c r="N118" s="1">
        <v>3.11</v>
      </c>
      <c r="O118" s="1">
        <v>111</v>
      </c>
      <c r="P118" s="1">
        <v>2374</v>
      </c>
      <c r="Q118" s="1">
        <v>170.5</v>
      </c>
      <c r="R118" s="1">
        <v>149</v>
      </c>
      <c r="S118" s="1">
        <v>354</v>
      </c>
      <c r="T118" s="1">
        <v>11</v>
      </c>
      <c r="U118" s="1">
        <v>4</v>
      </c>
    </row>
    <row r="119" spans="1:21" x14ac:dyDescent="0.35">
      <c r="A119" s="1">
        <v>118</v>
      </c>
      <c r="B119" s="1">
        <v>2288</v>
      </c>
      <c r="C119" s="1" t="s">
        <v>49</v>
      </c>
      <c r="D119" s="1" t="s">
        <v>21</v>
      </c>
      <c r="E119" s="2">
        <v>48.854209445585212</v>
      </c>
      <c r="F119" s="2" t="str" cm="1">
        <f t="array" ref="F119">_xlfn.IFS(E119&lt;25,"Under 25",E119&lt;40,"Young Adulthood",E119&lt;60,"Middle Adulthood",E119&gt;=60,"Older Adulthood")</f>
        <v>Middle Adulthood</v>
      </c>
      <c r="G119" s="1" t="s">
        <v>23</v>
      </c>
      <c r="H119" s="1" t="s">
        <v>53</v>
      </c>
      <c r="I119" s="1" t="s">
        <v>50</v>
      </c>
      <c r="J119" s="1" t="s">
        <v>53</v>
      </c>
      <c r="K119" s="1" t="s">
        <v>54</v>
      </c>
      <c r="L119" s="1">
        <v>3.5</v>
      </c>
      <c r="M119" s="1">
        <v>390</v>
      </c>
      <c r="N119" s="1">
        <v>3.3</v>
      </c>
      <c r="O119" s="1">
        <v>67</v>
      </c>
      <c r="P119" s="1">
        <v>878</v>
      </c>
      <c r="Q119" s="1">
        <v>137.94999999999999</v>
      </c>
      <c r="R119" s="1">
        <v>93</v>
      </c>
      <c r="S119" s="1">
        <v>207</v>
      </c>
      <c r="T119" s="1">
        <v>10.199999999999999</v>
      </c>
      <c r="U119" s="1">
        <v>3</v>
      </c>
    </row>
    <row r="120" spans="1:21" x14ac:dyDescent="0.35">
      <c r="A120" s="1">
        <v>119</v>
      </c>
      <c r="B120" s="1">
        <v>515</v>
      </c>
      <c r="C120" s="1" t="s">
        <v>49</v>
      </c>
      <c r="D120" s="1" t="s">
        <v>21</v>
      </c>
      <c r="E120" s="2">
        <v>54.255989048596852</v>
      </c>
      <c r="F120" s="2" t="str" cm="1">
        <f t="array" ref="F120">_xlfn.IFS(E120&lt;25,"Under 25",E120&lt;40,"Young Adulthood",E120&lt;60,"Middle Adulthood",E120&gt;=60,"Older Adulthood")</f>
        <v>Middle Adulthood</v>
      </c>
      <c r="G120" s="1" t="s">
        <v>23</v>
      </c>
      <c r="H120" s="1" t="s">
        <v>53</v>
      </c>
      <c r="I120" s="1" t="s">
        <v>53</v>
      </c>
      <c r="J120" s="1" t="s">
        <v>50</v>
      </c>
      <c r="K120" s="1" t="s">
        <v>54</v>
      </c>
      <c r="L120" s="1">
        <v>0.6</v>
      </c>
      <c r="M120" s="1">
        <v>636</v>
      </c>
      <c r="N120" s="1">
        <v>3.83</v>
      </c>
      <c r="O120" s="1">
        <v>129</v>
      </c>
      <c r="P120" s="1">
        <v>944</v>
      </c>
      <c r="Q120" s="1">
        <v>97.65</v>
      </c>
      <c r="R120" s="1">
        <v>114</v>
      </c>
      <c r="S120" s="1">
        <v>306</v>
      </c>
      <c r="T120" s="1">
        <v>9.5</v>
      </c>
      <c r="U120" s="1">
        <v>3</v>
      </c>
    </row>
    <row r="121" spans="1:21" x14ac:dyDescent="0.35">
      <c r="A121" s="1">
        <v>120</v>
      </c>
      <c r="B121" s="1">
        <v>2033</v>
      </c>
      <c r="C121" s="1" t="s">
        <v>56</v>
      </c>
      <c r="D121" s="1" t="s">
        <v>21</v>
      </c>
      <c r="E121" s="2">
        <v>35.15126625598905</v>
      </c>
      <c r="F121" s="2" t="str" cm="1">
        <f t="array" ref="F121">_xlfn.IFS(E121&lt;25,"Under 25",E121&lt;40,"Young Adulthood",E121&lt;60,"Middle Adulthood",E121&gt;=60,"Older Adulthood")</f>
        <v>Young Adulthood</v>
      </c>
      <c r="G121" s="1" t="s">
        <v>25</v>
      </c>
      <c r="H121" s="1" t="s">
        <v>53</v>
      </c>
      <c r="I121" s="1" t="s">
        <v>53</v>
      </c>
      <c r="J121" s="1" t="s">
        <v>53</v>
      </c>
      <c r="K121" s="1" t="s">
        <v>54</v>
      </c>
      <c r="L121" s="1">
        <v>3.5</v>
      </c>
      <c r="M121" s="1">
        <v>325</v>
      </c>
      <c r="N121" s="1">
        <v>3.98</v>
      </c>
      <c r="O121" s="1">
        <v>444</v>
      </c>
      <c r="P121" s="1">
        <v>766</v>
      </c>
      <c r="Q121" s="1">
        <v>130.19999999999999</v>
      </c>
      <c r="R121" s="1">
        <v>210</v>
      </c>
      <c r="S121" s="1">
        <v>344</v>
      </c>
      <c r="T121" s="1">
        <v>10.6</v>
      </c>
      <c r="U121" s="1">
        <v>3</v>
      </c>
    </row>
    <row r="122" spans="1:21" x14ac:dyDescent="0.35">
      <c r="A122" s="1">
        <v>121</v>
      </c>
      <c r="B122" s="1">
        <v>191</v>
      </c>
      <c r="C122" s="1" t="s">
        <v>49</v>
      </c>
      <c r="D122" s="1" t="s">
        <v>26</v>
      </c>
      <c r="E122" s="2">
        <v>67.906913073237504</v>
      </c>
      <c r="F122" s="2" t="str" cm="1">
        <f t="array" ref="F122">_xlfn.IFS(E122&lt;25,"Under 25",E122&lt;40,"Young Adulthood",E122&lt;60,"Middle Adulthood",E122&gt;=60,"Older Adulthood")</f>
        <v>Older Adulthood</v>
      </c>
      <c r="G122" s="1" t="s">
        <v>25</v>
      </c>
      <c r="H122" s="1" t="s">
        <v>50</v>
      </c>
      <c r="I122" s="1" t="s">
        <v>50</v>
      </c>
      <c r="J122" s="1" t="s">
        <v>53</v>
      </c>
      <c r="K122" s="1" t="s">
        <v>51</v>
      </c>
      <c r="L122" s="1">
        <v>1.3</v>
      </c>
      <c r="M122" s="1">
        <v>151</v>
      </c>
      <c r="N122" s="1">
        <v>3.08</v>
      </c>
      <c r="O122" s="1">
        <v>73</v>
      </c>
      <c r="P122" s="1">
        <v>1112</v>
      </c>
      <c r="Q122" s="1">
        <v>46.5</v>
      </c>
      <c r="R122" s="1">
        <v>49</v>
      </c>
      <c r="S122" s="1">
        <v>213</v>
      </c>
      <c r="T122" s="1">
        <v>13.2</v>
      </c>
      <c r="U122" s="1">
        <v>4</v>
      </c>
    </row>
    <row r="123" spans="1:21" x14ac:dyDescent="0.35">
      <c r="A123" s="1">
        <v>122</v>
      </c>
      <c r="B123" s="1">
        <v>3297</v>
      </c>
      <c r="C123" s="1" t="s">
        <v>52</v>
      </c>
      <c r="D123" s="1" t="s">
        <v>21</v>
      </c>
      <c r="E123" s="2">
        <v>55.436002737850785</v>
      </c>
      <c r="F123" s="2" t="str" cm="1">
        <f t="array" ref="F123">_xlfn.IFS(E123&lt;25,"Under 25",E123&lt;40,"Young Adulthood",E123&lt;60,"Middle Adulthood",E123&gt;=60,"Older Adulthood")</f>
        <v>Middle Adulthood</v>
      </c>
      <c r="G123" s="1" t="s">
        <v>23</v>
      </c>
      <c r="H123" s="1" t="s">
        <v>53</v>
      </c>
      <c r="I123" s="1" t="s">
        <v>53</v>
      </c>
      <c r="J123" s="1" t="s">
        <v>53</v>
      </c>
      <c r="K123" s="1" t="s">
        <v>54</v>
      </c>
      <c r="L123" s="1">
        <v>0.6</v>
      </c>
      <c r="M123" s="1">
        <v>298</v>
      </c>
      <c r="N123" s="1">
        <v>4.13</v>
      </c>
      <c r="O123" s="1">
        <v>29</v>
      </c>
      <c r="P123" s="1">
        <v>758</v>
      </c>
      <c r="Q123" s="1">
        <v>65.099999999999994</v>
      </c>
      <c r="R123" s="1">
        <v>85</v>
      </c>
      <c r="S123" s="1">
        <v>256</v>
      </c>
      <c r="T123" s="1">
        <v>10.7</v>
      </c>
      <c r="U123" s="1">
        <v>3</v>
      </c>
    </row>
    <row r="124" spans="1:21" x14ac:dyDescent="0.35">
      <c r="A124" s="1">
        <v>123</v>
      </c>
      <c r="B124" s="1">
        <v>971</v>
      </c>
      <c r="C124" s="1" t="s">
        <v>49</v>
      </c>
      <c r="D124" s="1" t="s">
        <v>21</v>
      </c>
      <c r="E124" s="2">
        <v>45.820670773442849</v>
      </c>
      <c r="F124" s="2" t="str" cm="1">
        <f t="array" ref="F124">_xlfn.IFS(E124&lt;25,"Under 25",E124&lt;40,"Young Adulthood",E124&lt;60,"Middle Adulthood",E124&gt;=60,"Older Adulthood")</f>
        <v>Middle Adulthood</v>
      </c>
      <c r="G124" s="1" t="s">
        <v>23</v>
      </c>
      <c r="H124" s="1" t="s">
        <v>53</v>
      </c>
      <c r="I124" s="1" t="s">
        <v>50</v>
      </c>
      <c r="J124" s="1" t="s">
        <v>50</v>
      </c>
      <c r="K124" s="1" t="s">
        <v>51</v>
      </c>
      <c r="L124" s="1">
        <v>5.0999999999999996</v>
      </c>
      <c r="M124" s="1">
        <v>309.5</v>
      </c>
      <c r="N124" s="1">
        <v>3.23</v>
      </c>
      <c r="O124" s="1">
        <v>18</v>
      </c>
      <c r="P124" s="1">
        <v>790</v>
      </c>
      <c r="Q124" s="1">
        <v>179.8</v>
      </c>
      <c r="R124" s="1">
        <v>108</v>
      </c>
      <c r="S124" s="1">
        <v>104</v>
      </c>
      <c r="T124" s="1">
        <v>13</v>
      </c>
      <c r="U124" s="1">
        <v>4</v>
      </c>
    </row>
    <row r="125" spans="1:21" x14ac:dyDescent="0.35">
      <c r="A125" s="1">
        <v>124</v>
      </c>
      <c r="B125" s="1">
        <v>3069</v>
      </c>
      <c r="C125" s="1" t="s">
        <v>52</v>
      </c>
      <c r="D125" s="1" t="s">
        <v>21</v>
      </c>
      <c r="E125" s="2">
        <v>52.889801505817935</v>
      </c>
      <c r="F125" s="2" t="str" cm="1">
        <f t="array" ref="F125">_xlfn.IFS(E125&lt;25,"Under 25",E125&lt;40,"Young Adulthood",E125&lt;60,"Middle Adulthood",E125&gt;=60,"Older Adulthood")</f>
        <v>Middle Adulthood</v>
      </c>
      <c r="G125" s="1" t="s">
        <v>25</v>
      </c>
      <c r="H125" s="1" t="s">
        <v>53</v>
      </c>
      <c r="I125" s="1" t="s">
        <v>50</v>
      </c>
      <c r="J125" s="1" t="s">
        <v>53</v>
      </c>
      <c r="K125" s="1" t="s">
        <v>54</v>
      </c>
      <c r="L125" s="1">
        <v>0.6</v>
      </c>
      <c r="M125" s="1">
        <v>251</v>
      </c>
      <c r="N125" s="1">
        <v>3.9</v>
      </c>
      <c r="O125" s="1">
        <v>25</v>
      </c>
      <c r="P125" s="1">
        <v>681</v>
      </c>
      <c r="Q125" s="1">
        <v>57.35</v>
      </c>
      <c r="R125" s="1">
        <v>107</v>
      </c>
      <c r="S125" s="1">
        <v>182</v>
      </c>
      <c r="T125" s="1">
        <v>10.8</v>
      </c>
      <c r="U125" s="1">
        <v>4</v>
      </c>
    </row>
    <row r="126" spans="1:21" x14ac:dyDescent="0.35">
      <c r="A126" s="1">
        <v>125</v>
      </c>
      <c r="B126" s="1">
        <v>2468</v>
      </c>
      <c r="C126" s="1" t="s">
        <v>56</v>
      </c>
      <c r="D126" s="1" t="s">
        <v>26</v>
      </c>
      <c r="E126" s="2">
        <v>47.181382614647504</v>
      </c>
      <c r="F126" s="2" t="str" cm="1">
        <f t="array" ref="F126">_xlfn.IFS(E126&lt;25,"Under 25",E126&lt;40,"Young Adulthood",E126&lt;60,"Middle Adulthood",E126&gt;=60,"Older Adulthood")</f>
        <v>Middle Adulthood</v>
      </c>
      <c r="G126" s="1" t="s">
        <v>23</v>
      </c>
      <c r="H126" s="1" t="s">
        <v>53</v>
      </c>
      <c r="I126" s="1" t="s">
        <v>50</v>
      </c>
      <c r="J126" s="1" t="s">
        <v>53</v>
      </c>
      <c r="K126" s="1" t="s">
        <v>54</v>
      </c>
      <c r="L126" s="1">
        <v>1.3</v>
      </c>
      <c r="M126" s="1">
        <v>316</v>
      </c>
      <c r="N126" s="1">
        <v>3.51</v>
      </c>
      <c r="O126" s="1">
        <v>75</v>
      </c>
      <c r="P126" s="1">
        <v>1162</v>
      </c>
      <c r="Q126" s="1">
        <v>147.25</v>
      </c>
      <c r="R126" s="1">
        <v>137</v>
      </c>
      <c r="S126" s="1">
        <v>238</v>
      </c>
      <c r="T126" s="1">
        <v>10</v>
      </c>
      <c r="U126" s="1">
        <v>4</v>
      </c>
    </row>
    <row r="127" spans="1:21" x14ac:dyDescent="0.35">
      <c r="A127" s="1">
        <v>126</v>
      </c>
      <c r="B127" s="1">
        <v>824</v>
      </c>
      <c r="C127" s="1" t="s">
        <v>49</v>
      </c>
      <c r="D127" s="1" t="s">
        <v>21</v>
      </c>
      <c r="E127" s="2">
        <v>53.598904859685149</v>
      </c>
      <c r="F127" s="2" t="str" cm="1">
        <f t="array" ref="F127">_xlfn.IFS(E127&lt;25,"Under 25",E127&lt;40,"Young Adulthood",E127&lt;60,"Middle Adulthood",E127&gt;=60,"Older Adulthood")</f>
        <v>Middle Adulthood</v>
      </c>
      <c r="G127" s="1" t="s">
        <v>23</v>
      </c>
      <c r="H127" s="1" t="s">
        <v>50</v>
      </c>
      <c r="I127" s="1" t="s">
        <v>50</v>
      </c>
      <c r="J127" s="1" t="s">
        <v>50</v>
      </c>
      <c r="K127" s="1" t="s">
        <v>54</v>
      </c>
      <c r="L127" s="1">
        <v>1.2</v>
      </c>
      <c r="M127" s="1">
        <v>269</v>
      </c>
      <c r="N127" s="1">
        <v>3.12</v>
      </c>
      <c r="O127" s="1">
        <v>73</v>
      </c>
      <c r="P127" s="1">
        <v>1441</v>
      </c>
      <c r="Q127" s="1">
        <v>165.85</v>
      </c>
      <c r="R127" s="1">
        <v>68</v>
      </c>
      <c r="S127" s="1">
        <v>166</v>
      </c>
      <c r="T127" s="1">
        <v>11.1</v>
      </c>
      <c r="U127" s="1">
        <v>4</v>
      </c>
    </row>
    <row r="128" spans="1:21" x14ac:dyDescent="0.35">
      <c r="A128" s="1">
        <v>127</v>
      </c>
      <c r="B128" s="1">
        <v>3255</v>
      </c>
      <c r="C128" s="1" t="s">
        <v>52</v>
      </c>
      <c r="D128" s="1" t="s">
        <v>26</v>
      </c>
      <c r="E128" s="2">
        <v>44.10403832991102</v>
      </c>
      <c r="F128" s="2" t="str" cm="1">
        <f t="array" ref="F128">_xlfn.IFS(E128&lt;25,"Under 25",E128&lt;40,"Young Adulthood",E128&lt;60,"Middle Adulthood",E128&gt;=60,"Older Adulthood")</f>
        <v>Middle Adulthood</v>
      </c>
      <c r="G128" s="1" t="s">
        <v>23</v>
      </c>
      <c r="H128" s="1" t="s">
        <v>53</v>
      </c>
      <c r="I128" s="1" t="s">
        <v>53</v>
      </c>
      <c r="J128" s="1" t="s">
        <v>53</v>
      </c>
      <c r="K128" s="1" t="s">
        <v>54</v>
      </c>
      <c r="L128" s="1">
        <v>0.5</v>
      </c>
      <c r="M128" s="1">
        <v>268</v>
      </c>
      <c r="N128" s="1">
        <v>4.08</v>
      </c>
      <c r="O128" s="1">
        <v>9</v>
      </c>
      <c r="P128" s="1">
        <v>1174</v>
      </c>
      <c r="Q128" s="1">
        <v>86.8</v>
      </c>
      <c r="R128" s="1">
        <v>95</v>
      </c>
      <c r="S128" s="1">
        <v>453</v>
      </c>
      <c r="T128" s="1">
        <v>10</v>
      </c>
      <c r="U128" s="1">
        <v>2</v>
      </c>
    </row>
    <row r="129" spans="1:21" x14ac:dyDescent="0.35">
      <c r="A129" s="1">
        <v>128</v>
      </c>
      <c r="B129" s="1">
        <v>1037</v>
      </c>
      <c r="C129" s="1" t="s">
        <v>49</v>
      </c>
      <c r="D129" s="1" t="s">
        <v>21</v>
      </c>
      <c r="E129" s="2">
        <v>41.949349760438054</v>
      </c>
      <c r="F129" s="2" t="str" cm="1">
        <f t="array" ref="F129">_xlfn.IFS(E129&lt;25,"Under 25",E129&lt;40,"Young Adulthood",E129&lt;60,"Middle Adulthood",E129&gt;=60,"Older Adulthood")</f>
        <v>Middle Adulthood</v>
      </c>
      <c r="G129" s="1" t="s">
        <v>23</v>
      </c>
      <c r="H129" s="1" t="s">
        <v>53</v>
      </c>
      <c r="I129" s="1" t="s">
        <v>50</v>
      </c>
      <c r="J129" s="1" t="s">
        <v>50</v>
      </c>
      <c r="K129" s="1" t="s">
        <v>54</v>
      </c>
      <c r="L129" s="1">
        <v>16.2</v>
      </c>
      <c r="M129" s="1">
        <v>309.5</v>
      </c>
      <c r="N129" s="1">
        <v>2.89</v>
      </c>
      <c r="O129" s="1">
        <v>42</v>
      </c>
      <c r="P129" s="1">
        <v>1828</v>
      </c>
      <c r="Q129" s="1">
        <v>299.14999999999998</v>
      </c>
      <c r="R129" s="1">
        <v>108</v>
      </c>
      <c r="S129" s="1">
        <v>123</v>
      </c>
      <c r="T129" s="1">
        <v>12.6</v>
      </c>
      <c r="U129" s="1">
        <v>4</v>
      </c>
    </row>
    <row r="130" spans="1:21" x14ac:dyDescent="0.35">
      <c r="A130" s="1">
        <v>129</v>
      </c>
      <c r="B130" s="1">
        <v>3239</v>
      </c>
      <c r="C130" s="1" t="s">
        <v>52</v>
      </c>
      <c r="D130" s="1" t="s">
        <v>21</v>
      </c>
      <c r="E130" s="2">
        <v>63.613963039014372</v>
      </c>
      <c r="F130" s="2" t="str" cm="1">
        <f t="array" ref="F130">_xlfn.IFS(E130&lt;25,"Under 25",E130&lt;40,"Young Adulthood",E130&lt;60,"Middle Adulthood",E130&gt;=60,"Older Adulthood")</f>
        <v>Older Adulthood</v>
      </c>
      <c r="G130" s="1" t="s">
        <v>23</v>
      </c>
      <c r="H130" s="1" t="s">
        <v>53</v>
      </c>
      <c r="I130" s="1" t="s">
        <v>50</v>
      </c>
      <c r="J130" s="1" t="s">
        <v>53</v>
      </c>
      <c r="K130" s="1" t="s">
        <v>54</v>
      </c>
      <c r="L130" s="1">
        <v>0.9</v>
      </c>
      <c r="M130" s="1">
        <v>420</v>
      </c>
      <c r="N130" s="1">
        <v>3.87</v>
      </c>
      <c r="O130" s="1">
        <v>30</v>
      </c>
      <c r="P130" s="1">
        <v>1009</v>
      </c>
      <c r="Q130" s="1">
        <v>57.35</v>
      </c>
      <c r="R130" s="1">
        <v>232</v>
      </c>
      <c r="S130" s="1">
        <v>251</v>
      </c>
      <c r="T130" s="1">
        <v>9.6999999999999993</v>
      </c>
      <c r="U130" s="1">
        <v>3</v>
      </c>
    </row>
    <row r="131" spans="1:21" x14ac:dyDescent="0.35">
      <c r="A131" s="1">
        <v>130</v>
      </c>
      <c r="B131" s="1">
        <v>1413</v>
      </c>
      <c r="C131" s="1" t="s">
        <v>49</v>
      </c>
      <c r="D131" s="1" t="s">
        <v>26</v>
      </c>
      <c r="E131" s="2">
        <v>44.227241615331963</v>
      </c>
      <c r="F131" s="2" t="str" cm="1">
        <f t="array" ref="F131">_xlfn.IFS(E131&lt;25,"Under 25",E131&lt;40,"Young Adulthood",E131&lt;60,"Middle Adulthood",E131&gt;=60,"Older Adulthood")</f>
        <v>Middle Adulthood</v>
      </c>
      <c r="G131" s="1" t="s">
        <v>23</v>
      </c>
      <c r="H131" s="1" t="s">
        <v>53</v>
      </c>
      <c r="I131" s="1" t="s">
        <v>50</v>
      </c>
      <c r="J131" s="1" t="s">
        <v>50</v>
      </c>
      <c r="K131" s="1" t="s">
        <v>54</v>
      </c>
      <c r="L131" s="1">
        <v>17.399999999999999</v>
      </c>
      <c r="M131" s="1">
        <v>1775</v>
      </c>
      <c r="N131" s="1">
        <v>3.43</v>
      </c>
      <c r="O131" s="1">
        <v>205</v>
      </c>
      <c r="P131" s="1">
        <v>2065</v>
      </c>
      <c r="Q131" s="1">
        <v>165.85</v>
      </c>
      <c r="R131" s="1">
        <v>97</v>
      </c>
      <c r="S131" s="1">
        <v>418</v>
      </c>
      <c r="T131" s="1">
        <v>11.5</v>
      </c>
      <c r="U131" s="1">
        <v>3</v>
      </c>
    </row>
    <row r="132" spans="1:21" x14ac:dyDescent="0.35">
      <c r="A132" s="1">
        <v>131</v>
      </c>
      <c r="B132" s="1">
        <v>850</v>
      </c>
      <c r="C132" s="1" t="s">
        <v>49</v>
      </c>
      <c r="D132" s="1" t="s">
        <v>26</v>
      </c>
      <c r="E132" s="2">
        <v>62.001368925393564</v>
      </c>
      <c r="F132" s="2" t="str" cm="1">
        <f t="array" ref="F132">_xlfn.IFS(E132&lt;25,"Under 25",E132&lt;40,"Young Adulthood",E132&lt;60,"Middle Adulthood",E132&gt;=60,"Older Adulthood")</f>
        <v>Older Adulthood</v>
      </c>
      <c r="G132" s="1" t="s">
        <v>23</v>
      </c>
      <c r="H132" s="1" t="s">
        <v>53</v>
      </c>
      <c r="I132" s="1" t="s">
        <v>50</v>
      </c>
      <c r="J132" s="1" t="s">
        <v>50</v>
      </c>
      <c r="K132" s="1" t="s">
        <v>54</v>
      </c>
      <c r="L132" s="1">
        <v>2.8</v>
      </c>
      <c r="M132" s="1">
        <v>242</v>
      </c>
      <c r="N132" s="1">
        <v>3.8</v>
      </c>
      <c r="O132" s="1">
        <v>74</v>
      </c>
      <c r="P132" s="1">
        <v>614</v>
      </c>
      <c r="Q132" s="1">
        <v>136.4</v>
      </c>
      <c r="R132" s="1">
        <v>104</v>
      </c>
      <c r="S132" s="1">
        <v>121</v>
      </c>
      <c r="T132" s="1">
        <v>13.2</v>
      </c>
      <c r="U132" s="1">
        <v>4</v>
      </c>
    </row>
    <row r="133" spans="1:21" x14ac:dyDescent="0.35">
      <c r="A133" s="1">
        <v>132</v>
      </c>
      <c r="B133" s="1">
        <v>2944</v>
      </c>
      <c r="C133" s="1" t="s">
        <v>52</v>
      </c>
      <c r="D133" s="1" t="s">
        <v>21</v>
      </c>
      <c r="E133" s="2">
        <v>40.553045859000683</v>
      </c>
      <c r="F133" s="2" t="str" cm="1">
        <f t="array" ref="F133">_xlfn.IFS(E133&lt;25,"Under 25",E133&lt;40,"Young Adulthood",E133&lt;60,"Middle Adulthood",E133&gt;=60,"Older Adulthood")</f>
        <v>Middle Adulthood</v>
      </c>
      <c r="G133" s="1" t="s">
        <v>23</v>
      </c>
      <c r="H133" s="1" t="s">
        <v>53</v>
      </c>
      <c r="I133" s="1" t="s">
        <v>53</v>
      </c>
      <c r="J133" s="1" t="s">
        <v>53</v>
      </c>
      <c r="K133" s="1" t="s">
        <v>54</v>
      </c>
      <c r="L133" s="1">
        <v>1.9</v>
      </c>
      <c r="M133" s="1">
        <v>448</v>
      </c>
      <c r="N133" s="1">
        <v>3.83</v>
      </c>
      <c r="O133" s="1">
        <v>60</v>
      </c>
      <c r="P133" s="1">
        <v>1052</v>
      </c>
      <c r="Q133" s="1">
        <v>127.1</v>
      </c>
      <c r="R133" s="1">
        <v>175</v>
      </c>
      <c r="S133" s="1">
        <v>181</v>
      </c>
      <c r="T133" s="1">
        <v>9.8000000000000007</v>
      </c>
      <c r="U133" s="1">
        <v>3</v>
      </c>
    </row>
    <row r="134" spans="1:21" x14ac:dyDescent="0.35">
      <c r="A134" s="1">
        <v>133</v>
      </c>
      <c r="B134" s="1">
        <v>2796</v>
      </c>
      <c r="C134" s="1" t="s">
        <v>49</v>
      </c>
      <c r="D134" s="1" t="s">
        <v>26</v>
      </c>
      <c r="E134" s="2">
        <v>62.644763860369608</v>
      </c>
      <c r="F134" s="2" t="str" cm="1">
        <f t="array" ref="F134">_xlfn.IFS(E134&lt;25,"Under 25",E134&lt;40,"Young Adulthood",E134&lt;60,"Middle Adulthood",E134&gt;=60,"Older Adulthood")</f>
        <v>Older Adulthood</v>
      </c>
      <c r="G134" s="1" t="s">
        <v>25</v>
      </c>
      <c r="H134" s="1" t="s">
        <v>53</v>
      </c>
      <c r="I134" s="1" t="s">
        <v>53</v>
      </c>
      <c r="J134" s="1" t="s">
        <v>53</v>
      </c>
      <c r="K134" s="1" t="s">
        <v>54</v>
      </c>
      <c r="L134" s="1">
        <v>1.5</v>
      </c>
      <c r="M134" s="1">
        <v>331</v>
      </c>
      <c r="N134" s="1">
        <v>3.95</v>
      </c>
      <c r="O134" s="1">
        <v>13</v>
      </c>
      <c r="P134" s="1">
        <v>577</v>
      </c>
      <c r="Q134" s="1">
        <v>128.65</v>
      </c>
      <c r="R134" s="1">
        <v>99</v>
      </c>
      <c r="S134" s="1">
        <v>165</v>
      </c>
      <c r="T134" s="1">
        <v>10.1</v>
      </c>
      <c r="U134" s="1">
        <v>4</v>
      </c>
    </row>
    <row r="135" spans="1:21" x14ac:dyDescent="0.35">
      <c r="A135" s="1">
        <v>134</v>
      </c>
      <c r="B135" s="1">
        <v>3149</v>
      </c>
      <c r="C135" s="1" t="s">
        <v>52</v>
      </c>
      <c r="D135" s="1" t="s">
        <v>26</v>
      </c>
      <c r="E135" s="2">
        <v>42.335386721423681</v>
      </c>
      <c r="F135" s="2" t="str" cm="1">
        <f t="array" ref="F135">_xlfn.IFS(E135&lt;25,"Under 25",E135&lt;40,"Young Adulthood",E135&lt;60,"Middle Adulthood",E135&gt;=60,"Older Adulthood")</f>
        <v>Middle Adulthood</v>
      </c>
      <c r="G135" s="1" t="s">
        <v>23</v>
      </c>
      <c r="H135" s="1" t="s">
        <v>53</v>
      </c>
      <c r="I135" s="1" t="s">
        <v>53</v>
      </c>
      <c r="J135" s="1" t="s">
        <v>53</v>
      </c>
      <c r="K135" s="1" t="s">
        <v>54</v>
      </c>
      <c r="L135" s="1">
        <v>0.7</v>
      </c>
      <c r="M135" s="1">
        <v>578</v>
      </c>
      <c r="N135" s="1">
        <v>3.67</v>
      </c>
      <c r="O135" s="1">
        <v>35</v>
      </c>
      <c r="P135" s="1">
        <v>1353</v>
      </c>
      <c r="Q135" s="1">
        <v>127.1</v>
      </c>
      <c r="R135" s="1">
        <v>105</v>
      </c>
      <c r="S135" s="1">
        <v>427</v>
      </c>
      <c r="T135" s="1">
        <v>10.7</v>
      </c>
      <c r="U135" s="1">
        <v>2</v>
      </c>
    </row>
    <row r="136" spans="1:21" x14ac:dyDescent="0.35">
      <c r="A136" s="1">
        <v>135</v>
      </c>
      <c r="B136" s="1">
        <v>3150</v>
      </c>
      <c r="C136" s="1" t="s">
        <v>52</v>
      </c>
      <c r="D136" s="1" t="s">
        <v>21</v>
      </c>
      <c r="E136" s="2">
        <v>42.967830253251201</v>
      </c>
      <c r="F136" s="2" t="str" cm="1">
        <f t="array" ref="F136">_xlfn.IFS(E136&lt;25,"Under 25",E136&lt;40,"Young Adulthood",E136&lt;60,"Middle Adulthood",E136&gt;=60,"Older Adulthood")</f>
        <v>Middle Adulthood</v>
      </c>
      <c r="G136" s="1" t="s">
        <v>23</v>
      </c>
      <c r="H136" s="1" t="s">
        <v>53</v>
      </c>
      <c r="I136" s="1" t="s">
        <v>53</v>
      </c>
      <c r="J136" s="1" t="s">
        <v>53</v>
      </c>
      <c r="K136" s="1" t="s">
        <v>54</v>
      </c>
      <c r="L136" s="1">
        <v>0.4</v>
      </c>
      <c r="M136" s="1">
        <v>263</v>
      </c>
      <c r="N136" s="1">
        <v>3.57</v>
      </c>
      <c r="O136" s="1">
        <v>123</v>
      </c>
      <c r="P136" s="1">
        <v>836</v>
      </c>
      <c r="Q136" s="1">
        <v>74.400000000000006</v>
      </c>
      <c r="R136" s="1">
        <v>121</v>
      </c>
      <c r="S136" s="1">
        <v>445</v>
      </c>
      <c r="T136" s="1">
        <v>11</v>
      </c>
      <c r="U136" s="1">
        <v>2</v>
      </c>
    </row>
    <row r="137" spans="1:21" x14ac:dyDescent="0.35">
      <c r="A137" s="1">
        <v>136</v>
      </c>
      <c r="B137" s="1">
        <v>3098</v>
      </c>
      <c r="C137" s="1" t="s">
        <v>52</v>
      </c>
      <c r="D137" s="1" t="s">
        <v>21</v>
      </c>
      <c r="E137" s="2">
        <v>55.961670088980149</v>
      </c>
      <c r="F137" s="2" t="str" cm="1">
        <f t="array" ref="F137">_xlfn.IFS(E137&lt;25,"Under 25",E137&lt;40,"Young Adulthood",E137&lt;60,"Middle Adulthood",E137&gt;=60,"Older Adulthood")</f>
        <v>Middle Adulthood</v>
      </c>
      <c r="G137" s="1" t="s">
        <v>23</v>
      </c>
      <c r="H137" s="1" t="s">
        <v>53</v>
      </c>
      <c r="I137" s="1" t="s">
        <v>53</v>
      </c>
      <c r="J137" s="1" t="s">
        <v>53</v>
      </c>
      <c r="K137" s="1" t="s">
        <v>54</v>
      </c>
      <c r="L137" s="1">
        <v>0.8</v>
      </c>
      <c r="M137" s="1">
        <v>263</v>
      </c>
      <c r="N137" s="1">
        <v>3.35</v>
      </c>
      <c r="O137" s="1">
        <v>27</v>
      </c>
      <c r="P137" s="1">
        <v>1636</v>
      </c>
      <c r="Q137" s="1">
        <v>116.25</v>
      </c>
      <c r="R137" s="1">
        <v>69</v>
      </c>
      <c r="S137" s="1">
        <v>206</v>
      </c>
      <c r="T137" s="1">
        <v>9.8000000000000007</v>
      </c>
      <c r="U137" s="1">
        <v>2</v>
      </c>
    </row>
    <row r="138" spans="1:21" x14ac:dyDescent="0.35">
      <c r="A138" s="1">
        <v>137</v>
      </c>
      <c r="B138" s="1">
        <v>2990</v>
      </c>
      <c r="C138" s="1" t="s">
        <v>52</v>
      </c>
      <c r="D138" s="1" t="s">
        <v>21</v>
      </c>
      <c r="E138" s="2">
        <v>62.861054072553046</v>
      </c>
      <c r="F138" s="2" t="str" cm="1">
        <f t="array" ref="F138">_xlfn.IFS(E138&lt;25,"Under 25",E138&lt;40,"Young Adulthood",E138&lt;60,"Middle Adulthood",E138&gt;=60,"Older Adulthood")</f>
        <v>Older Adulthood</v>
      </c>
      <c r="G138" s="1" t="s">
        <v>23</v>
      </c>
      <c r="H138" s="1" t="s">
        <v>53</v>
      </c>
      <c r="I138" s="1" t="s">
        <v>53</v>
      </c>
      <c r="J138" s="1" t="s">
        <v>53</v>
      </c>
      <c r="K138" s="1" t="s">
        <v>54</v>
      </c>
      <c r="L138" s="1">
        <v>1.1000000000000001</v>
      </c>
      <c r="M138" s="1">
        <v>399</v>
      </c>
      <c r="N138" s="1">
        <v>3.6</v>
      </c>
      <c r="O138" s="1">
        <v>79</v>
      </c>
      <c r="P138" s="1">
        <v>3472</v>
      </c>
      <c r="Q138" s="1">
        <v>155</v>
      </c>
      <c r="R138" s="1">
        <v>152</v>
      </c>
      <c r="S138" s="1">
        <v>344</v>
      </c>
      <c r="T138" s="1">
        <v>10.1</v>
      </c>
      <c r="U138" s="1">
        <v>2</v>
      </c>
    </row>
    <row r="139" spans="1:21" x14ac:dyDescent="0.35">
      <c r="A139" s="1">
        <v>138</v>
      </c>
      <c r="B139" s="1">
        <v>1297</v>
      </c>
      <c r="C139" s="1" t="s">
        <v>49</v>
      </c>
      <c r="D139" s="1" t="s">
        <v>21</v>
      </c>
      <c r="E139" s="2">
        <v>51.249828884325801</v>
      </c>
      <c r="F139" s="2" t="str" cm="1">
        <f t="array" ref="F139">_xlfn.IFS(E139&lt;25,"Under 25",E139&lt;40,"Young Adulthood",E139&lt;60,"Middle Adulthood",E139&gt;=60,"Older Adulthood")</f>
        <v>Middle Adulthood</v>
      </c>
      <c r="G139" s="1" t="s">
        <v>25</v>
      </c>
      <c r="H139" s="1" t="s">
        <v>53</v>
      </c>
      <c r="I139" s="1" t="s">
        <v>50</v>
      </c>
      <c r="J139" s="1" t="s">
        <v>53</v>
      </c>
      <c r="K139" s="1" t="s">
        <v>54</v>
      </c>
      <c r="L139" s="1">
        <v>7.3</v>
      </c>
      <c r="M139" s="1">
        <v>426</v>
      </c>
      <c r="N139" s="1">
        <v>3.93</v>
      </c>
      <c r="O139" s="1">
        <v>262</v>
      </c>
      <c r="P139" s="1">
        <v>2424</v>
      </c>
      <c r="Q139" s="1">
        <v>145.69999999999999</v>
      </c>
      <c r="R139" s="1">
        <v>218</v>
      </c>
      <c r="S139" s="1">
        <v>252</v>
      </c>
      <c r="T139" s="1">
        <v>10.5</v>
      </c>
      <c r="U139" s="1">
        <v>3</v>
      </c>
    </row>
    <row r="140" spans="1:21" x14ac:dyDescent="0.35">
      <c r="A140" s="1">
        <v>139</v>
      </c>
      <c r="B140" s="1">
        <v>2106</v>
      </c>
      <c r="C140" s="1" t="s">
        <v>52</v>
      </c>
      <c r="D140" s="1" t="s">
        <v>26</v>
      </c>
      <c r="E140" s="2">
        <v>46.762491444216288</v>
      </c>
      <c r="F140" s="2" t="str" cm="1">
        <f t="array" ref="F140">_xlfn.IFS(E140&lt;25,"Under 25",E140&lt;40,"Young Adulthood",E140&lt;60,"Middle Adulthood",E140&gt;=60,"Older Adulthood")</f>
        <v>Middle Adulthood</v>
      </c>
      <c r="G140" s="1" t="s">
        <v>23</v>
      </c>
      <c r="H140" s="1" t="s">
        <v>53</v>
      </c>
      <c r="I140" s="1" t="s">
        <v>50</v>
      </c>
      <c r="J140" s="1" t="s">
        <v>53</v>
      </c>
      <c r="K140" s="1" t="s">
        <v>54</v>
      </c>
      <c r="L140" s="1">
        <v>1.1000000000000001</v>
      </c>
      <c r="M140" s="1">
        <v>328</v>
      </c>
      <c r="N140" s="1">
        <v>3.31</v>
      </c>
      <c r="O140" s="1">
        <v>159</v>
      </c>
      <c r="P140" s="1">
        <v>1260</v>
      </c>
      <c r="Q140" s="1">
        <v>94.55</v>
      </c>
      <c r="R140" s="1">
        <v>134</v>
      </c>
      <c r="S140" s="1">
        <v>142</v>
      </c>
      <c r="T140" s="1">
        <v>11.6</v>
      </c>
      <c r="U140" s="1">
        <v>4</v>
      </c>
    </row>
    <row r="141" spans="1:21" x14ac:dyDescent="0.35">
      <c r="A141" s="1">
        <v>140</v>
      </c>
      <c r="B141" s="1">
        <v>3059</v>
      </c>
      <c r="C141" s="1" t="s">
        <v>52</v>
      </c>
      <c r="D141" s="1" t="s">
        <v>21</v>
      </c>
      <c r="E141" s="2">
        <v>54.075290896646131</v>
      </c>
      <c r="F141" s="2" t="str" cm="1">
        <f t="array" ref="F141">_xlfn.IFS(E141&lt;25,"Under 25",E141&lt;40,"Young Adulthood",E141&lt;60,"Middle Adulthood",E141&gt;=60,"Older Adulthood")</f>
        <v>Middle Adulthood</v>
      </c>
      <c r="G141" s="1" t="s">
        <v>23</v>
      </c>
      <c r="H141" s="1" t="s">
        <v>53</v>
      </c>
      <c r="I141" s="1" t="s">
        <v>50</v>
      </c>
      <c r="J141" s="1" t="s">
        <v>53</v>
      </c>
      <c r="K141" s="1" t="s">
        <v>54</v>
      </c>
      <c r="L141" s="1">
        <v>1.1000000000000001</v>
      </c>
      <c r="M141" s="1">
        <v>290</v>
      </c>
      <c r="N141" s="1">
        <v>4.09</v>
      </c>
      <c r="O141" s="1">
        <v>38</v>
      </c>
      <c r="P141" s="1">
        <v>2120</v>
      </c>
      <c r="Q141" s="1">
        <v>186</v>
      </c>
      <c r="R141" s="1">
        <v>146</v>
      </c>
      <c r="S141" s="1">
        <v>318</v>
      </c>
      <c r="T141" s="1">
        <v>10</v>
      </c>
      <c r="U141" s="1">
        <v>3</v>
      </c>
    </row>
    <row r="142" spans="1:21" x14ac:dyDescent="0.35">
      <c r="A142" s="1">
        <v>141</v>
      </c>
      <c r="B142" s="1">
        <v>3050</v>
      </c>
      <c r="C142" s="1" t="s">
        <v>52</v>
      </c>
      <c r="D142" s="1" t="s">
        <v>21</v>
      </c>
      <c r="E142" s="2">
        <v>47.036276522929498</v>
      </c>
      <c r="F142" s="2" t="str" cm="1">
        <f t="array" ref="F142">_xlfn.IFS(E142&lt;25,"Under 25",E142&lt;40,"Young Adulthood",E142&lt;60,"Middle Adulthood",E142&gt;=60,"Older Adulthood")</f>
        <v>Middle Adulthood</v>
      </c>
      <c r="G142" s="1" t="s">
        <v>23</v>
      </c>
      <c r="H142" s="1" t="s">
        <v>53</v>
      </c>
      <c r="I142" s="1" t="s">
        <v>53</v>
      </c>
      <c r="J142" s="1" t="s">
        <v>53</v>
      </c>
      <c r="K142" s="1" t="s">
        <v>54</v>
      </c>
      <c r="L142" s="1">
        <v>0.9</v>
      </c>
      <c r="M142" s="1">
        <v>346</v>
      </c>
      <c r="N142" s="1">
        <v>3.77</v>
      </c>
      <c r="O142" s="1">
        <v>59</v>
      </c>
      <c r="P142" s="1">
        <v>794</v>
      </c>
      <c r="Q142" s="1">
        <v>125.55</v>
      </c>
      <c r="R142" s="1">
        <v>56</v>
      </c>
      <c r="S142" s="1">
        <v>336</v>
      </c>
      <c r="T142" s="1">
        <v>10.6</v>
      </c>
      <c r="U142" s="1">
        <v>2</v>
      </c>
    </row>
    <row r="143" spans="1:21" x14ac:dyDescent="0.35">
      <c r="A143" s="1">
        <v>142</v>
      </c>
      <c r="B143" s="1">
        <v>2419</v>
      </c>
      <c r="C143" s="1" t="s">
        <v>49</v>
      </c>
      <c r="D143" s="1" t="s">
        <v>26</v>
      </c>
      <c r="E143" s="2">
        <v>55.72621492128679</v>
      </c>
      <c r="F143" s="2" t="str" cm="1">
        <f t="array" ref="F143">_xlfn.IFS(E143&lt;25,"Under 25",E143&lt;40,"Young Adulthood",E143&lt;60,"Middle Adulthood",E143&gt;=60,"Older Adulthood")</f>
        <v>Middle Adulthood</v>
      </c>
      <c r="G143" s="1" t="s">
        <v>23</v>
      </c>
      <c r="H143" s="1" t="s">
        <v>53</v>
      </c>
      <c r="I143" s="1" t="s">
        <v>50</v>
      </c>
      <c r="J143" s="1" t="s">
        <v>53</v>
      </c>
      <c r="K143" s="1" t="s">
        <v>54</v>
      </c>
      <c r="L143" s="1">
        <v>1</v>
      </c>
      <c r="M143" s="1">
        <v>364</v>
      </c>
      <c r="N143" s="1">
        <v>3.48</v>
      </c>
      <c r="O143" s="1">
        <v>20</v>
      </c>
      <c r="P143" s="1">
        <v>720</v>
      </c>
      <c r="Q143" s="1">
        <v>134.85</v>
      </c>
      <c r="R143" s="1">
        <v>88</v>
      </c>
      <c r="S143" s="1">
        <v>283</v>
      </c>
      <c r="T143" s="1">
        <v>9.9</v>
      </c>
      <c r="U143" s="1">
        <v>2</v>
      </c>
    </row>
    <row r="144" spans="1:21" x14ac:dyDescent="0.35">
      <c r="A144" s="1">
        <v>143</v>
      </c>
      <c r="B144" s="1">
        <v>786</v>
      </c>
      <c r="C144" s="1" t="s">
        <v>49</v>
      </c>
      <c r="D144" s="1" t="s">
        <v>26</v>
      </c>
      <c r="E144" s="2">
        <v>46.102669404517457</v>
      </c>
      <c r="F144" s="2" t="str" cm="1">
        <f t="array" ref="F144">_xlfn.IFS(E144&lt;25,"Under 25",E144&lt;40,"Young Adulthood",E144&lt;60,"Middle Adulthood",E144&gt;=60,"Older Adulthood")</f>
        <v>Middle Adulthood</v>
      </c>
      <c r="G144" s="1" t="s">
        <v>23</v>
      </c>
      <c r="H144" s="1" t="s">
        <v>53</v>
      </c>
      <c r="I144" s="1" t="s">
        <v>50</v>
      </c>
      <c r="J144" s="1" t="s">
        <v>53</v>
      </c>
      <c r="K144" s="1" t="s">
        <v>54</v>
      </c>
      <c r="L144" s="1">
        <v>2.9</v>
      </c>
      <c r="M144" s="1">
        <v>332</v>
      </c>
      <c r="N144" s="1">
        <v>3.6</v>
      </c>
      <c r="O144" s="1">
        <v>86</v>
      </c>
      <c r="P144" s="1">
        <v>1492</v>
      </c>
      <c r="Q144" s="1">
        <v>134.85</v>
      </c>
      <c r="R144" s="1">
        <v>103</v>
      </c>
      <c r="S144" s="1">
        <v>277</v>
      </c>
      <c r="T144" s="1">
        <v>11</v>
      </c>
      <c r="U144" s="1">
        <v>4</v>
      </c>
    </row>
    <row r="145" spans="1:21" x14ac:dyDescent="0.35">
      <c r="A145" s="1">
        <v>144</v>
      </c>
      <c r="B145" s="1">
        <v>943</v>
      </c>
      <c r="C145" s="1" t="s">
        <v>49</v>
      </c>
      <c r="D145" s="1" t="s">
        <v>26</v>
      </c>
      <c r="E145" s="2">
        <v>52.28747433264887</v>
      </c>
      <c r="F145" s="2" t="str" cm="1">
        <f t="array" ref="F145">_xlfn.IFS(E145&lt;25,"Under 25",E145&lt;40,"Young Adulthood",E145&lt;60,"Middle Adulthood",E145&gt;=60,"Older Adulthood")</f>
        <v>Middle Adulthood</v>
      </c>
      <c r="G145" s="1" t="s">
        <v>23</v>
      </c>
      <c r="H145" s="1" t="s">
        <v>53</v>
      </c>
      <c r="I145" s="1" t="s">
        <v>50</v>
      </c>
      <c r="J145" s="1" t="s">
        <v>53</v>
      </c>
      <c r="K145" s="1" t="s">
        <v>55</v>
      </c>
      <c r="L145" s="1">
        <v>28</v>
      </c>
      <c r="M145" s="1">
        <v>556</v>
      </c>
      <c r="N145" s="1">
        <v>3.26</v>
      </c>
      <c r="O145" s="1">
        <v>152</v>
      </c>
      <c r="P145" s="1">
        <v>3896</v>
      </c>
      <c r="Q145" s="1">
        <v>198.4</v>
      </c>
      <c r="R145" s="1">
        <v>171</v>
      </c>
      <c r="S145" s="1">
        <v>335</v>
      </c>
      <c r="T145" s="1">
        <v>10</v>
      </c>
      <c r="U145" s="1">
        <v>3</v>
      </c>
    </row>
    <row r="146" spans="1:21" x14ac:dyDescent="0.35">
      <c r="A146" s="1">
        <v>145</v>
      </c>
      <c r="B146" s="1">
        <v>2976</v>
      </c>
      <c r="C146" s="1" t="s">
        <v>52</v>
      </c>
      <c r="D146" s="1" t="s">
        <v>26</v>
      </c>
      <c r="E146" s="2">
        <v>51.200547570157426</v>
      </c>
      <c r="F146" s="2" t="str" cm="1">
        <f t="array" ref="F146">_xlfn.IFS(E146&lt;25,"Under 25",E146&lt;40,"Young Adulthood",E146&lt;60,"Middle Adulthood",E146&gt;=60,"Older Adulthood")</f>
        <v>Middle Adulthood</v>
      </c>
      <c r="G146" s="1" t="s">
        <v>23</v>
      </c>
      <c r="H146" s="1" t="s">
        <v>53</v>
      </c>
      <c r="I146" s="1" t="s">
        <v>53</v>
      </c>
      <c r="J146" s="1" t="s">
        <v>50</v>
      </c>
      <c r="K146" s="1" t="s">
        <v>54</v>
      </c>
      <c r="L146" s="1">
        <v>0.7</v>
      </c>
      <c r="M146" s="1">
        <v>309</v>
      </c>
      <c r="N146" s="1">
        <v>3.84</v>
      </c>
      <c r="O146" s="1">
        <v>96</v>
      </c>
      <c r="P146" s="1">
        <v>858</v>
      </c>
      <c r="Q146" s="1">
        <v>41.85</v>
      </c>
      <c r="R146" s="1">
        <v>106</v>
      </c>
      <c r="S146" s="1">
        <v>253</v>
      </c>
      <c r="T146" s="1">
        <v>11.4</v>
      </c>
      <c r="U146" s="1">
        <v>3</v>
      </c>
    </row>
    <row r="147" spans="1:21" x14ac:dyDescent="0.35">
      <c r="A147" s="1">
        <v>146</v>
      </c>
      <c r="B147" s="1">
        <v>2615</v>
      </c>
      <c r="C147" s="1" t="s">
        <v>52</v>
      </c>
      <c r="D147" s="1" t="s">
        <v>26</v>
      </c>
      <c r="E147" s="2">
        <v>33.864476386036962</v>
      </c>
      <c r="F147" s="2" t="str" cm="1">
        <f t="array" ref="F147">_xlfn.IFS(E147&lt;25,"Under 25",E147&lt;40,"Young Adulthood",E147&lt;60,"Middle Adulthood",E147&gt;=60,"Older Adulthood")</f>
        <v>Young Adulthood</v>
      </c>
      <c r="G147" s="1" t="s">
        <v>23</v>
      </c>
      <c r="H147" s="1" t="s">
        <v>53</v>
      </c>
      <c r="I147" s="1" t="s">
        <v>53</v>
      </c>
      <c r="J147" s="1" t="s">
        <v>53</v>
      </c>
      <c r="K147" s="1" t="s">
        <v>55</v>
      </c>
      <c r="L147" s="1">
        <v>1.2</v>
      </c>
      <c r="M147" s="1">
        <v>309.5</v>
      </c>
      <c r="N147" s="1">
        <v>3.89</v>
      </c>
      <c r="O147" s="1">
        <v>58</v>
      </c>
      <c r="P147" s="1">
        <v>1284</v>
      </c>
      <c r="Q147" s="1">
        <v>173.6</v>
      </c>
      <c r="R147" s="1">
        <v>108</v>
      </c>
      <c r="S147" s="1">
        <v>239</v>
      </c>
      <c r="T147" s="1">
        <v>9.4</v>
      </c>
      <c r="U147" s="1">
        <v>3</v>
      </c>
    </row>
    <row r="148" spans="1:21" x14ac:dyDescent="0.35">
      <c r="A148" s="1">
        <v>147</v>
      </c>
      <c r="B148" s="1">
        <v>2995</v>
      </c>
      <c r="C148" s="1" t="s">
        <v>52</v>
      </c>
      <c r="D148" s="1" t="s">
        <v>21</v>
      </c>
      <c r="E148" s="2">
        <v>75.011635865845307</v>
      </c>
      <c r="F148" s="2" t="str" cm="1">
        <f t="array" ref="F148">_xlfn.IFS(E148&lt;25,"Under 25",E148&lt;40,"Young Adulthood",E148&lt;60,"Middle Adulthood",E148&gt;=60,"Older Adulthood")</f>
        <v>Older Adulthood</v>
      </c>
      <c r="G148" s="1" t="s">
        <v>23</v>
      </c>
      <c r="H148" s="1" t="s">
        <v>53</v>
      </c>
      <c r="I148" s="1" t="s">
        <v>53</v>
      </c>
      <c r="J148" s="1" t="s">
        <v>53</v>
      </c>
      <c r="K148" s="1" t="s">
        <v>55</v>
      </c>
      <c r="L148" s="1">
        <v>1.2</v>
      </c>
      <c r="M148" s="1">
        <v>288</v>
      </c>
      <c r="N148" s="1">
        <v>3.37</v>
      </c>
      <c r="O148" s="1">
        <v>32</v>
      </c>
      <c r="P148" s="1">
        <v>791</v>
      </c>
      <c r="Q148" s="1">
        <v>57.35</v>
      </c>
      <c r="R148" s="1">
        <v>114</v>
      </c>
      <c r="S148" s="1">
        <v>213</v>
      </c>
      <c r="T148" s="1">
        <v>10.7</v>
      </c>
      <c r="U148" s="1">
        <v>2</v>
      </c>
    </row>
    <row r="149" spans="1:21" x14ac:dyDescent="0.35">
      <c r="A149" s="1">
        <v>148</v>
      </c>
      <c r="B149" s="1">
        <v>1427</v>
      </c>
      <c r="C149" s="1" t="s">
        <v>49</v>
      </c>
      <c r="D149" s="1" t="s">
        <v>26</v>
      </c>
      <c r="E149" s="2">
        <v>30.863791923340177</v>
      </c>
      <c r="F149" s="2" t="str" cm="1">
        <f t="array" ref="F149">_xlfn.IFS(E149&lt;25,"Under 25",E149&lt;40,"Young Adulthood",E149&lt;60,"Middle Adulthood",E149&gt;=60,"Older Adulthood")</f>
        <v>Young Adulthood</v>
      </c>
      <c r="G149" s="1" t="s">
        <v>23</v>
      </c>
      <c r="H149" s="1" t="s">
        <v>53</v>
      </c>
      <c r="I149" s="1" t="s">
        <v>50</v>
      </c>
      <c r="J149" s="1" t="s">
        <v>53</v>
      </c>
      <c r="K149" s="1" t="s">
        <v>54</v>
      </c>
      <c r="L149" s="1">
        <v>7.2</v>
      </c>
      <c r="M149" s="1">
        <v>1015</v>
      </c>
      <c r="N149" s="1">
        <v>3.26</v>
      </c>
      <c r="O149" s="1">
        <v>247</v>
      </c>
      <c r="P149" s="1">
        <v>3836</v>
      </c>
      <c r="Q149" s="1">
        <v>198.4</v>
      </c>
      <c r="R149" s="1">
        <v>280</v>
      </c>
      <c r="S149" s="1">
        <v>330</v>
      </c>
      <c r="T149" s="1">
        <v>9.8000000000000007</v>
      </c>
      <c r="U149" s="1">
        <v>3</v>
      </c>
    </row>
    <row r="150" spans="1:21" x14ac:dyDescent="0.35">
      <c r="A150" s="1">
        <v>149</v>
      </c>
      <c r="B150" s="1">
        <v>762</v>
      </c>
      <c r="C150" s="1" t="s">
        <v>49</v>
      </c>
      <c r="D150" s="1" t="s">
        <v>21</v>
      </c>
      <c r="E150" s="2">
        <v>61.804243668720055</v>
      </c>
      <c r="F150" s="2" t="str" cm="1">
        <f t="array" ref="F150">_xlfn.IFS(E150&lt;25,"Under 25",E150&lt;40,"Young Adulthood",E150&lt;60,"Middle Adulthood",E150&gt;=60,"Older Adulthood")</f>
        <v>Older Adulthood</v>
      </c>
      <c r="G150" s="1" t="s">
        <v>25</v>
      </c>
      <c r="H150" s="1" t="s">
        <v>53</v>
      </c>
      <c r="I150" s="1" t="s">
        <v>50</v>
      </c>
      <c r="J150" s="1" t="s">
        <v>50</v>
      </c>
      <c r="K150" s="1" t="s">
        <v>55</v>
      </c>
      <c r="L150" s="1">
        <v>3</v>
      </c>
      <c r="M150" s="1">
        <v>257</v>
      </c>
      <c r="N150" s="1">
        <v>3.79</v>
      </c>
      <c r="O150" s="1">
        <v>290</v>
      </c>
      <c r="P150" s="1">
        <v>1664</v>
      </c>
      <c r="Q150" s="1">
        <v>102.3</v>
      </c>
      <c r="R150" s="1">
        <v>112</v>
      </c>
      <c r="S150" s="1">
        <v>140</v>
      </c>
      <c r="T150" s="1">
        <v>9.9</v>
      </c>
      <c r="U150" s="1">
        <v>4</v>
      </c>
    </row>
    <row r="151" spans="1:21" x14ac:dyDescent="0.35">
      <c r="A151" s="1">
        <v>150</v>
      </c>
      <c r="B151" s="1">
        <v>2891</v>
      </c>
      <c r="C151" s="1" t="s">
        <v>52</v>
      </c>
      <c r="D151" s="1" t="s">
        <v>26</v>
      </c>
      <c r="E151" s="2">
        <v>34.986995208761122</v>
      </c>
      <c r="F151" s="2" t="str" cm="1">
        <f t="array" ref="F151">_xlfn.IFS(E151&lt;25,"Under 25",E151&lt;40,"Young Adulthood",E151&lt;60,"Middle Adulthood",E151&gt;=60,"Older Adulthood")</f>
        <v>Young Adulthood</v>
      </c>
      <c r="G151" s="1" t="s">
        <v>23</v>
      </c>
      <c r="H151" s="1" t="s">
        <v>53</v>
      </c>
      <c r="I151" s="1" t="s">
        <v>53</v>
      </c>
      <c r="J151" s="1" t="s">
        <v>50</v>
      </c>
      <c r="K151" s="1" t="s">
        <v>54</v>
      </c>
      <c r="L151" s="1">
        <v>1</v>
      </c>
      <c r="M151" s="1">
        <v>309.5</v>
      </c>
      <c r="N151" s="1">
        <v>3.63</v>
      </c>
      <c r="O151" s="1">
        <v>57</v>
      </c>
      <c r="P151" s="1">
        <v>1536</v>
      </c>
      <c r="Q151" s="1">
        <v>134.85</v>
      </c>
      <c r="R151" s="1">
        <v>108</v>
      </c>
      <c r="S151" s="1">
        <v>233</v>
      </c>
      <c r="T151" s="1">
        <v>10</v>
      </c>
      <c r="U151" s="1">
        <v>1</v>
      </c>
    </row>
    <row r="152" spans="1:21" x14ac:dyDescent="0.35">
      <c r="A152" s="1">
        <v>151</v>
      </c>
      <c r="B152" s="1">
        <v>2870</v>
      </c>
      <c r="C152" s="1" t="s">
        <v>52</v>
      </c>
      <c r="D152" s="1" t="s">
        <v>21</v>
      </c>
      <c r="E152" s="2">
        <v>55.041752224503767</v>
      </c>
      <c r="F152" s="2" t="str" cm="1">
        <f t="array" ref="F152">_xlfn.IFS(E152&lt;25,"Under 25",E152&lt;40,"Young Adulthood",E152&lt;60,"Middle Adulthood",E152&gt;=60,"Older Adulthood")</f>
        <v>Middle Adulthood</v>
      </c>
      <c r="G152" s="1" t="s">
        <v>23</v>
      </c>
      <c r="H152" s="1" t="s">
        <v>53</v>
      </c>
      <c r="I152" s="1" t="s">
        <v>53</v>
      </c>
      <c r="J152" s="1" t="s">
        <v>53</v>
      </c>
      <c r="K152" s="1" t="s">
        <v>54</v>
      </c>
      <c r="L152" s="1">
        <v>0.9</v>
      </c>
      <c r="M152" s="1">
        <v>460</v>
      </c>
      <c r="N152" s="1">
        <v>3.03</v>
      </c>
      <c r="O152" s="1">
        <v>57</v>
      </c>
      <c r="P152" s="1">
        <v>721</v>
      </c>
      <c r="Q152" s="1">
        <v>85.25</v>
      </c>
      <c r="R152" s="1">
        <v>174</v>
      </c>
      <c r="S152" s="1">
        <v>301</v>
      </c>
      <c r="T152" s="1">
        <v>9.4</v>
      </c>
      <c r="U152" s="1">
        <v>2</v>
      </c>
    </row>
    <row r="153" spans="1:21" x14ac:dyDescent="0.35">
      <c r="A153" s="1">
        <v>152</v>
      </c>
      <c r="B153" s="1">
        <v>1152</v>
      </c>
      <c r="C153" s="1" t="s">
        <v>49</v>
      </c>
      <c r="D153" s="1" t="s">
        <v>21</v>
      </c>
      <c r="E153" s="2">
        <v>69.941136208076657</v>
      </c>
      <c r="F153" s="2" t="str" cm="1">
        <f t="array" ref="F153">_xlfn.IFS(E153&lt;25,"Under 25",E153&lt;40,"Young Adulthood",E153&lt;60,"Middle Adulthood",E153&gt;=60,"Older Adulthood")</f>
        <v>Older Adulthood</v>
      </c>
      <c r="G153" s="1" t="s">
        <v>25</v>
      </c>
      <c r="H153" s="1" t="s">
        <v>53</v>
      </c>
      <c r="I153" s="1" t="s">
        <v>50</v>
      </c>
      <c r="J153" s="1" t="s">
        <v>53</v>
      </c>
      <c r="K153" s="1" t="s">
        <v>54</v>
      </c>
      <c r="L153" s="1">
        <v>2.2999999999999998</v>
      </c>
      <c r="M153" s="1">
        <v>586</v>
      </c>
      <c r="N153" s="1">
        <v>3.01</v>
      </c>
      <c r="O153" s="1">
        <v>243</v>
      </c>
      <c r="P153" s="1">
        <v>2276</v>
      </c>
      <c r="Q153" s="1">
        <v>114.7</v>
      </c>
      <c r="R153" s="1">
        <v>126</v>
      </c>
      <c r="S153" s="1">
        <v>339</v>
      </c>
      <c r="T153" s="1">
        <v>10.9</v>
      </c>
      <c r="U153" s="1">
        <v>3</v>
      </c>
    </row>
    <row r="154" spans="1:21" x14ac:dyDescent="0.35">
      <c r="A154" s="1">
        <v>153</v>
      </c>
      <c r="B154" s="1">
        <v>2863</v>
      </c>
      <c r="C154" s="1" t="s">
        <v>52</v>
      </c>
      <c r="D154" s="1" t="s">
        <v>21</v>
      </c>
      <c r="E154" s="2">
        <v>49.604380561259411</v>
      </c>
      <c r="F154" s="2" t="str" cm="1">
        <f t="array" ref="F154">_xlfn.IFS(E154&lt;25,"Under 25",E154&lt;40,"Young Adulthood",E154&lt;60,"Middle Adulthood",E154&gt;=60,"Older Adulthood")</f>
        <v>Middle Adulthood</v>
      </c>
      <c r="G154" s="1" t="s">
        <v>23</v>
      </c>
      <c r="H154" s="1" t="s">
        <v>53</v>
      </c>
      <c r="I154" s="1" t="s">
        <v>53</v>
      </c>
      <c r="J154" s="1" t="s">
        <v>53</v>
      </c>
      <c r="K154" s="1" t="s">
        <v>54</v>
      </c>
      <c r="L154" s="1">
        <v>0.5</v>
      </c>
      <c r="M154" s="1">
        <v>217</v>
      </c>
      <c r="N154" s="1">
        <v>3.85</v>
      </c>
      <c r="O154" s="1">
        <v>68</v>
      </c>
      <c r="P154" s="1">
        <v>453</v>
      </c>
      <c r="Q154" s="1">
        <v>54.25</v>
      </c>
      <c r="R154" s="1">
        <v>68</v>
      </c>
      <c r="S154" s="1">
        <v>270</v>
      </c>
      <c r="T154" s="1">
        <v>11.1</v>
      </c>
      <c r="U154" s="1">
        <v>1</v>
      </c>
    </row>
    <row r="155" spans="1:21" x14ac:dyDescent="0.35">
      <c r="A155" s="1">
        <v>154</v>
      </c>
      <c r="B155" s="1">
        <v>140</v>
      </c>
      <c r="C155" s="1" t="s">
        <v>49</v>
      </c>
      <c r="D155" s="1" t="s">
        <v>21</v>
      </c>
      <c r="E155" s="2">
        <v>69.377138945927442</v>
      </c>
      <c r="F155" s="2" t="str" cm="1">
        <f t="array" ref="F155">_xlfn.IFS(E155&lt;25,"Under 25",E155&lt;40,"Young Adulthood",E155&lt;60,"Middle Adulthood",E155&gt;=60,"Older Adulthood")</f>
        <v>Older Adulthood</v>
      </c>
      <c r="G155" s="1" t="s">
        <v>25</v>
      </c>
      <c r="H155" s="1" t="s">
        <v>53</v>
      </c>
      <c r="I155" s="1" t="s">
        <v>53</v>
      </c>
      <c r="J155" s="1" t="s">
        <v>50</v>
      </c>
      <c r="K155" s="1" t="s">
        <v>51</v>
      </c>
      <c r="L155" s="1">
        <v>2.4</v>
      </c>
      <c r="M155" s="1">
        <v>168</v>
      </c>
      <c r="N155" s="1">
        <v>2.56</v>
      </c>
      <c r="O155" s="1">
        <v>225</v>
      </c>
      <c r="P155" s="1">
        <v>1056</v>
      </c>
      <c r="Q155" s="1">
        <v>120.9</v>
      </c>
      <c r="R155" s="1">
        <v>75</v>
      </c>
      <c r="S155" s="1">
        <v>108</v>
      </c>
      <c r="T155" s="1">
        <v>14.1</v>
      </c>
      <c r="U155" s="1">
        <v>3</v>
      </c>
    </row>
    <row r="156" spans="1:21" x14ac:dyDescent="0.35">
      <c r="A156" s="1">
        <v>155</v>
      </c>
      <c r="B156" s="1">
        <v>2666</v>
      </c>
      <c r="C156" s="1" t="s">
        <v>52</v>
      </c>
      <c r="D156" s="1" t="s">
        <v>26</v>
      </c>
      <c r="E156" s="2">
        <v>43.5564681724846</v>
      </c>
      <c r="F156" s="2" t="str" cm="1">
        <f t="array" ref="F156">_xlfn.IFS(E156&lt;25,"Under 25",E156&lt;40,"Young Adulthood",E156&lt;60,"Middle Adulthood",E156&gt;=60,"Older Adulthood")</f>
        <v>Middle Adulthood</v>
      </c>
      <c r="G156" s="1" t="s">
        <v>23</v>
      </c>
      <c r="H156" s="1" t="s">
        <v>53</v>
      </c>
      <c r="I156" s="1" t="s">
        <v>50</v>
      </c>
      <c r="J156" s="1" t="s">
        <v>50</v>
      </c>
      <c r="K156" s="1" t="s">
        <v>55</v>
      </c>
      <c r="L156" s="1">
        <v>0.6</v>
      </c>
      <c r="M156" s="1">
        <v>220</v>
      </c>
      <c r="N156" s="1">
        <v>3.35</v>
      </c>
      <c r="O156" s="1">
        <v>57</v>
      </c>
      <c r="P156" s="1">
        <v>1620</v>
      </c>
      <c r="Q156" s="1">
        <v>153.44999999999999</v>
      </c>
      <c r="R156" s="1">
        <v>80</v>
      </c>
      <c r="S156" s="1">
        <v>311</v>
      </c>
      <c r="T156" s="1">
        <v>11.2</v>
      </c>
      <c r="U156" s="1">
        <v>4</v>
      </c>
    </row>
    <row r="157" spans="1:21" x14ac:dyDescent="0.35">
      <c r="A157" s="1">
        <v>156</v>
      </c>
      <c r="B157" s="1">
        <v>853</v>
      </c>
      <c r="C157" s="1" t="s">
        <v>49</v>
      </c>
      <c r="D157" s="1" t="s">
        <v>26</v>
      </c>
      <c r="E157" s="2">
        <v>59.408624229979466</v>
      </c>
      <c r="F157" s="2" t="str" cm="1">
        <f t="array" ref="F157">_xlfn.IFS(E157&lt;25,"Under 25",E157&lt;40,"Young Adulthood",E157&lt;60,"Middle Adulthood",E157&gt;=60,"Older Adulthood")</f>
        <v>Middle Adulthood</v>
      </c>
      <c r="G157" s="1" t="s">
        <v>23</v>
      </c>
      <c r="H157" s="1" t="s">
        <v>53</v>
      </c>
      <c r="I157" s="1" t="s">
        <v>50</v>
      </c>
      <c r="J157" s="1" t="s">
        <v>53</v>
      </c>
      <c r="K157" s="1" t="s">
        <v>54</v>
      </c>
      <c r="L157" s="1">
        <v>25.5</v>
      </c>
      <c r="M157" s="1">
        <v>358</v>
      </c>
      <c r="N157" s="1">
        <v>3.52</v>
      </c>
      <c r="O157" s="1">
        <v>219</v>
      </c>
      <c r="P157" s="1">
        <v>2468</v>
      </c>
      <c r="Q157" s="1">
        <v>201.5</v>
      </c>
      <c r="R157" s="1">
        <v>205</v>
      </c>
      <c r="S157" s="1">
        <v>151</v>
      </c>
      <c r="T157" s="1">
        <v>11.5</v>
      </c>
      <c r="U157" s="1">
        <v>2</v>
      </c>
    </row>
    <row r="158" spans="1:21" x14ac:dyDescent="0.35">
      <c r="A158" s="1">
        <v>157</v>
      </c>
      <c r="B158" s="1">
        <v>2835</v>
      </c>
      <c r="C158" s="1" t="s">
        <v>52</v>
      </c>
      <c r="D158" s="1" t="s">
        <v>26</v>
      </c>
      <c r="E158" s="2">
        <v>48.758384668035589</v>
      </c>
      <c r="F158" s="2" t="str" cm="1">
        <f t="array" ref="F158">_xlfn.IFS(E158&lt;25,"Under 25",E158&lt;40,"Young Adulthood",E158&lt;60,"Middle Adulthood",E158&gt;=60,"Older Adulthood")</f>
        <v>Middle Adulthood</v>
      </c>
      <c r="G158" s="1" t="s">
        <v>23</v>
      </c>
      <c r="H158" s="1" t="s">
        <v>53</v>
      </c>
      <c r="I158" s="1" t="s">
        <v>53</v>
      </c>
      <c r="J158" s="1" t="s">
        <v>53</v>
      </c>
      <c r="K158" s="1" t="s">
        <v>54</v>
      </c>
      <c r="L158" s="1">
        <v>0.6</v>
      </c>
      <c r="M158" s="1">
        <v>286</v>
      </c>
      <c r="N158" s="1">
        <v>3.42</v>
      </c>
      <c r="O158" s="1">
        <v>34</v>
      </c>
      <c r="P158" s="1">
        <v>1868</v>
      </c>
      <c r="Q158" s="1">
        <v>77.5</v>
      </c>
      <c r="R158" s="1">
        <v>206</v>
      </c>
      <c r="S158" s="1">
        <v>487</v>
      </c>
      <c r="T158" s="1">
        <v>10</v>
      </c>
      <c r="U158" s="1">
        <v>2</v>
      </c>
    </row>
    <row r="159" spans="1:21" x14ac:dyDescent="0.35">
      <c r="A159" s="1">
        <v>158</v>
      </c>
      <c r="B159" s="1">
        <v>2475</v>
      </c>
      <c r="C159" s="1" t="s">
        <v>56</v>
      </c>
      <c r="D159" s="1" t="s">
        <v>21</v>
      </c>
      <c r="E159" s="2">
        <v>36.492813141683776</v>
      </c>
      <c r="F159" s="2" t="str" cm="1">
        <f t="array" ref="F159">_xlfn.IFS(E159&lt;25,"Under 25",E159&lt;40,"Young Adulthood",E159&lt;60,"Middle Adulthood",E159&gt;=60,"Older Adulthood")</f>
        <v>Young Adulthood</v>
      </c>
      <c r="G159" s="1" t="s">
        <v>23</v>
      </c>
      <c r="H159" s="1" t="s">
        <v>53</v>
      </c>
      <c r="I159" s="1" t="s">
        <v>53</v>
      </c>
      <c r="J159" s="1" t="s">
        <v>53</v>
      </c>
      <c r="K159" s="1" t="s">
        <v>54</v>
      </c>
      <c r="L159" s="1">
        <v>3.4</v>
      </c>
      <c r="M159" s="1">
        <v>450</v>
      </c>
      <c r="N159" s="1">
        <v>3.37</v>
      </c>
      <c r="O159" s="1">
        <v>32</v>
      </c>
      <c r="P159" s="1">
        <v>1408</v>
      </c>
      <c r="Q159" s="1">
        <v>116.25</v>
      </c>
      <c r="R159" s="1">
        <v>118</v>
      </c>
      <c r="S159" s="1">
        <v>313</v>
      </c>
      <c r="T159" s="1">
        <v>11.2</v>
      </c>
      <c r="U159" s="1">
        <v>2</v>
      </c>
    </row>
    <row r="160" spans="1:21" x14ac:dyDescent="0.35">
      <c r="A160" s="1">
        <v>159</v>
      </c>
      <c r="B160" s="1">
        <v>1536</v>
      </c>
      <c r="C160" s="1" t="s">
        <v>49</v>
      </c>
      <c r="D160" s="1" t="s">
        <v>26</v>
      </c>
      <c r="E160" s="2">
        <v>45.760438056125942</v>
      </c>
      <c r="F160" s="2" t="str" cm="1">
        <f t="array" ref="F160">_xlfn.IFS(E160&lt;25,"Under 25",E160&lt;40,"Young Adulthood",E160&lt;60,"Middle Adulthood",E160&gt;=60,"Older Adulthood")</f>
        <v>Middle Adulthood</v>
      </c>
      <c r="G160" s="1" t="s">
        <v>25</v>
      </c>
      <c r="H160" s="1" t="s">
        <v>53</v>
      </c>
      <c r="I160" s="1" t="s">
        <v>53</v>
      </c>
      <c r="J160" s="1" t="s">
        <v>53</v>
      </c>
      <c r="K160" s="1" t="s">
        <v>54</v>
      </c>
      <c r="L160" s="1">
        <v>2.5</v>
      </c>
      <c r="M160" s="1">
        <v>317</v>
      </c>
      <c r="N160" s="1">
        <v>3.46</v>
      </c>
      <c r="O160" s="1">
        <v>217</v>
      </c>
      <c r="P160" s="1">
        <v>714</v>
      </c>
      <c r="Q160" s="1">
        <v>130.19999999999999</v>
      </c>
      <c r="R160" s="1">
        <v>140</v>
      </c>
      <c r="S160" s="1">
        <v>207</v>
      </c>
      <c r="T160" s="1">
        <v>10.1</v>
      </c>
      <c r="U160" s="1">
        <v>3</v>
      </c>
    </row>
    <row r="161" spans="1:21" x14ac:dyDescent="0.35">
      <c r="A161" s="1">
        <v>160</v>
      </c>
      <c r="B161" s="1">
        <v>2772</v>
      </c>
      <c r="C161" s="1" t="s">
        <v>52</v>
      </c>
      <c r="D161" s="1" t="s">
        <v>26</v>
      </c>
      <c r="E161" s="2">
        <v>57.371663244353179</v>
      </c>
      <c r="F161" s="2" t="str" cm="1">
        <f t="array" ref="F161">_xlfn.IFS(E161&lt;25,"Under 25",E161&lt;40,"Young Adulthood",E161&lt;60,"Middle Adulthood",E161&gt;=60,"Older Adulthood")</f>
        <v>Middle Adulthood</v>
      </c>
      <c r="G161" s="1" t="s">
        <v>23</v>
      </c>
      <c r="H161" s="1" t="s">
        <v>53</v>
      </c>
      <c r="I161" s="1" t="s">
        <v>53</v>
      </c>
      <c r="J161" s="1" t="s">
        <v>53</v>
      </c>
      <c r="K161" s="1" t="s">
        <v>54</v>
      </c>
      <c r="L161" s="1">
        <v>0.6</v>
      </c>
      <c r="M161" s="1">
        <v>217</v>
      </c>
      <c r="N161" s="1">
        <v>3.62</v>
      </c>
      <c r="O161" s="1">
        <v>13</v>
      </c>
      <c r="P161" s="1">
        <v>414</v>
      </c>
      <c r="Q161" s="1">
        <v>75.95</v>
      </c>
      <c r="R161" s="1">
        <v>119</v>
      </c>
      <c r="S161" s="1">
        <v>224</v>
      </c>
      <c r="T161" s="1">
        <v>10.5</v>
      </c>
      <c r="U161" s="1">
        <v>3</v>
      </c>
    </row>
    <row r="162" spans="1:21" x14ac:dyDescent="0.35">
      <c r="A162" s="1">
        <v>161</v>
      </c>
      <c r="B162" s="1">
        <v>2797</v>
      </c>
      <c r="C162" s="1" t="s">
        <v>52</v>
      </c>
      <c r="D162" s="1" t="s">
        <v>26</v>
      </c>
      <c r="E162" s="2">
        <v>42.743326488706366</v>
      </c>
      <c r="F162" s="2" t="str" cm="1">
        <f t="array" ref="F162">_xlfn.IFS(E162&lt;25,"Under 25",E162&lt;40,"Young Adulthood",E162&lt;60,"Middle Adulthood",E162&gt;=60,"Older Adulthood")</f>
        <v>Middle Adulthood</v>
      </c>
      <c r="G162" s="1" t="s">
        <v>23</v>
      </c>
      <c r="H162" s="1" t="s">
        <v>53</v>
      </c>
      <c r="I162" s="1" t="s">
        <v>53</v>
      </c>
      <c r="J162" s="1" t="s">
        <v>53</v>
      </c>
      <c r="K162" s="1" t="s">
        <v>54</v>
      </c>
      <c r="L162" s="1">
        <v>2.2999999999999998</v>
      </c>
      <c r="M162" s="1">
        <v>502</v>
      </c>
      <c r="N162" s="1">
        <v>3.56</v>
      </c>
      <c r="O162" s="1">
        <v>4</v>
      </c>
      <c r="P162" s="1">
        <v>964</v>
      </c>
      <c r="Q162" s="1">
        <v>120.9</v>
      </c>
      <c r="R162" s="1">
        <v>180</v>
      </c>
      <c r="S162" s="1">
        <v>269</v>
      </c>
      <c r="T162" s="1">
        <v>9.6</v>
      </c>
      <c r="U162" s="1">
        <v>2</v>
      </c>
    </row>
    <row r="163" spans="1:21" x14ac:dyDescent="0.35">
      <c r="A163" s="1">
        <v>162</v>
      </c>
      <c r="B163" s="1">
        <v>186</v>
      </c>
      <c r="C163" s="1" t="s">
        <v>49</v>
      </c>
      <c r="D163" s="1" t="s">
        <v>26</v>
      </c>
      <c r="E163" s="2">
        <v>58.817248459958932</v>
      </c>
      <c r="F163" s="2" t="str" cm="1">
        <f t="array" ref="F163">_xlfn.IFS(E163&lt;25,"Under 25",E163&lt;40,"Young Adulthood",E163&lt;60,"Middle Adulthood",E163&gt;=60,"Older Adulthood")</f>
        <v>Middle Adulthood</v>
      </c>
      <c r="G163" s="1" t="s">
        <v>23</v>
      </c>
      <c r="H163" s="1" t="s">
        <v>53</v>
      </c>
      <c r="I163" s="1" t="s">
        <v>50</v>
      </c>
      <c r="J163" s="1" t="s">
        <v>50</v>
      </c>
      <c r="K163" s="1" t="s">
        <v>54</v>
      </c>
      <c r="L163" s="1">
        <v>3.2</v>
      </c>
      <c r="M163" s="1">
        <v>260</v>
      </c>
      <c r="N163" s="1">
        <v>3.19</v>
      </c>
      <c r="O163" s="1">
        <v>91</v>
      </c>
      <c r="P163" s="1">
        <v>815</v>
      </c>
      <c r="Q163" s="1">
        <v>127.1</v>
      </c>
      <c r="R163" s="1">
        <v>101</v>
      </c>
      <c r="S163" s="1">
        <v>160</v>
      </c>
      <c r="T163" s="1">
        <v>12</v>
      </c>
      <c r="U163" s="1">
        <v>4</v>
      </c>
    </row>
    <row r="164" spans="1:21" x14ac:dyDescent="0.35">
      <c r="A164" s="1">
        <v>163</v>
      </c>
      <c r="B164" s="1">
        <v>2055</v>
      </c>
      <c r="C164" s="1" t="s">
        <v>49</v>
      </c>
      <c r="D164" s="1" t="s">
        <v>21</v>
      </c>
      <c r="E164" s="2">
        <v>53.497604380561256</v>
      </c>
      <c r="F164" s="2" t="str" cm="1">
        <f t="array" ref="F164">_xlfn.IFS(E164&lt;25,"Under 25",E164&lt;40,"Young Adulthood",E164&lt;60,"Middle Adulthood",E164&gt;=60,"Older Adulthood")</f>
        <v>Middle Adulthood</v>
      </c>
      <c r="G164" s="1" t="s">
        <v>23</v>
      </c>
      <c r="H164" s="1" t="s">
        <v>53</v>
      </c>
      <c r="I164" s="1" t="s">
        <v>53</v>
      </c>
      <c r="J164" s="1" t="s">
        <v>53</v>
      </c>
      <c r="K164" s="1" t="s">
        <v>54</v>
      </c>
      <c r="L164" s="1">
        <v>0.3</v>
      </c>
      <c r="M164" s="1">
        <v>233</v>
      </c>
      <c r="N164" s="1">
        <v>4.08</v>
      </c>
      <c r="O164" s="1">
        <v>20</v>
      </c>
      <c r="P164" s="1">
        <v>622</v>
      </c>
      <c r="Q164" s="1">
        <v>66.650000000000006</v>
      </c>
      <c r="R164" s="1">
        <v>68</v>
      </c>
      <c r="S164" s="1">
        <v>358</v>
      </c>
      <c r="T164" s="1">
        <v>9.9</v>
      </c>
      <c r="U164" s="1">
        <v>3</v>
      </c>
    </row>
    <row r="165" spans="1:21" x14ac:dyDescent="0.35">
      <c r="A165" s="1">
        <v>164</v>
      </c>
      <c r="B165" s="1">
        <v>264</v>
      </c>
      <c r="C165" s="1" t="s">
        <v>49</v>
      </c>
      <c r="D165" s="1" t="s">
        <v>26</v>
      </c>
      <c r="E165" s="2">
        <v>43.414099931553729</v>
      </c>
      <c r="F165" s="2" t="str" cm="1">
        <f t="array" ref="F165">_xlfn.IFS(E165&lt;25,"Under 25",E165&lt;40,"Young Adulthood",E165&lt;60,"Middle Adulthood",E165&gt;=60,"Older Adulthood")</f>
        <v>Middle Adulthood</v>
      </c>
      <c r="G165" s="1" t="s">
        <v>23</v>
      </c>
      <c r="H165" s="1" t="s">
        <v>53</v>
      </c>
      <c r="I165" s="1" t="s">
        <v>50</v>
      </c>
      <c r="J165" s="1" t="s">
        <v>50</v>
      </c>
      <c r="K165" s="1" t="s">
        <v>55</v>
      </c>
      <c r="L165" s="1">
        <v>8.5</v>
      </c>
      <c r="M165" s="1">
        <v>309.5</v>
      </c>
      <c r="N165" s="1">
        <v>3.34</v>
      </c>
      <c r="O165" s="1">
        <v>161</v>
      </c>
      <c r="P165" s="1">
        <v>1428</v>
      </c>
      <c r="Q165" s="1">
        <v>181.35</v>
      </c>
      <c r="R165" s="1">
        <v>108</v>
      </c>
      <c r="S165" s="1">
        <v>88</v>
      </c>
      <c r="T165" s="1">
        <v>13.3</v>
      </c>
      <c r="U165" s="1">
        <v>4</v>
      </c>
    </row>
    <row r="166" spans="1:21" x14ac:dyDescent="0.35">
      <c r="A166" s="1">
        <v>165</v>
      </c>
      <c r="B166" s="1">
        <v>1077</v>
      </c>
      <c r="C166" s="1" t="s">
        <v>49</v>
      </c>
      <c r="D166" s="1" t="s">
        <v>21</v>
      </c>
      <c r="E166" s="2">
        <v>53.30595482546201</v>
      </c>
      <c r="F166" s="2" t="str" cm="1">
        <f t="array" ref="F166">_xlfn.IFS(E166&lt;25,"Under 25",E166&lt;40,"Young Adulthood",E166&lt;60,"Middle Adulthood",E166&gt;=60,"Older Adulthood")</f>
        <v>Middle Adulthood</v>
      </c>
      <c r="G166" s="1" t="s">
        <v>25</v>
      </c>
      <c r="H166" s="1" t="s">
        <v>53</v>
      </c>
      <c r="I166" s="1" t="s">
        <v>50</v>
      </c>
      <c r="J166" s="1" t="s">
        <v>53</v>
      </c>
      <c r="K166" s="1" t="s">
        <v>54</v>
      </c>
      <c r="L166" s="1">
        <v>4</v>
      </c>
      <c r="M166" s="1">
        <v>196</v>
      </c>
      <c r="N166" s="1">
        <v>3.45</v>
      </c>
      <c r="O166" s="1">
        <v>80</v>
      </c>
      <c r="P166" s="1">
        <v>2496</v>
      </c>
      <c r="Q166" s="1">
        <v>133.30000000000001</v>
      </c>
      <c r="R166" s="1">
        <v>142</v>
      </c>
      <c r="S166" s="1">
        <v>212</v>
      </c>
      <c r="T166" s="1">
        <v>11.3</v>
      </c>
      <c r="U166" s="1">
        <v>4</v>
      </c>
    </row>
    <row r="167" spans="1:21" x14ac:dyDescent="0.35">
      <c r="A167" s="1">
        <v>166</v>
      </c>
      <c r="B167" s="1">
        <v>2721</v>
      </c>
      <c r="C167" s="1" t="s">
        <v>52</v>
      </c>
      <c r="D167" s="1" t="s">
        <v>26</v>
      </c>
      <c r="E167" s="2">
        <v>41.355236139630392</v>
      </c>
      <c r="F167" s="2" t="str" cm="1">
        <f t="array" ref="F167">_xlfn.IFS(E167&lt;25,"Under 25",E167&lt;40,"Young Adulthood",E167&lt;60,"Middle Adulthood",E167&gt;=60,"Older Adulthood")</f>
        <v>Middle Adulthood</v>
      </c>
      <c r="G167" s="1" t="s">
        <v>23</v>
      </c>
      <c r="H167" s="1" t="s">
        <v>53</v>
      </c>
      <c r="I167" s="1" t="s">
        <v>50</v>
      </c>
      <c r="J167" s="1" t="s">
        <v>53</v>
      </c>
      <c r="K167" s="1" t="s">
        <v>54</v>
      </c>
      <c r="L167" s="1">
        <v>5.7</v>
      </c>
      <c r="M167" s="1">
        <v>1480</v>
      </c>
      <c r="N167" s="1">
        <v>3.26</v>
      </c>
      <c r="O167" s="1">
        <v>84</v>
      </c>
      <c r="P167" s="1">
        <v>1960</v>
      </c>
      <c r="Q167" s="1">
        <v>457.25</v>
      </c>
      <c r="R167" s="1">
        <v>108</v>
      </c>
      <c r="S167" s="1">
        <v>213</v>
      </c>
      <c r="T167" s="1">
        <v>9.5</v>
      </c>
      <c r="U167" s="1">
        <v>2</v>
      </c>
    </row>
    <row r="168" spans="1:21" x14ac:dyDescent="0.35">
      <c r="A168" s="1">
        <v>167</v>
      </c>
      <c r="B168" s="1">
        <v>1682</v>
      </c>
      <c r="C168" s="1" t="s">
        <v>49</v>
      </c>
      <c r="D168" s="1" t="s">
        <v>21</v>
      </c>
      <c r="E168" s="2">
        <v>60.958247775496233</v>
      </c>
      <c r="F168" s="2" t="str" cm="1">
        <f t="array" ref="F168">_xlfn.IFS(E168&lt;25,"Under 25",E168&lt;40,"Young Adulthood",E168&lt;60,"Middle Adulthood",E168&gt;=60,"Older Adulthood")</f>
        <v>Older Adulthood</v>
      </c>
      <c r="G168" s="1" t="s">
        <v>25</v>
      </c>
      <c r="H168" s="1" t="s">
        <v>53</v>
      </c>
      <c r="I168" s="1" t="s">
        <v>50</v>
      </c>
      <c r="J168" s="1" t="s">
        <v>53</v>
      </c>
      <c r="K168" s="1" t="s">
        <v>54</v>
      </c>
      <c r="L168" s="1">
        <v>0.9</v>
      </c>
      <c r="M168" s="1">
        <v>376</v>
      </c>
      <c r="N168" s="1">
        <v>3.86</v>
      </c>
      <c r="O168" s="1">
        <v>200</v>
      </c>
      <c r="P168" s="1">
        <v>1015</v>
      </c>
      <c r="Q168" s="1">
        <v>83.7</v>
      </c>
      <c r="R168" s="1">
        <v>154</v>
      </c>
      <c r="S168" s="1">
        <v>238</v>
      </c>
      <c r="T168" s="1">
        <v>10.3</v>
      </c>
      <c r="U168" s="1">
        <v>4</v>
      </c>
    </row>
    <row r="169" spans="1:21" x14ac:dyDescent="0.35">
      <c r="A169" s="1">
        <v>168</v>
      </c>
      <c r="B169" s="1">
        <v>2713</v>
      </c>
      <c r="C169" s="1" t="s">
        <v>52</v>
      </c>
      <c r="D169" s="1" t="s">
        <v>26</v>
      </c>
      <c r="E169" s="2">
        <v>47.753593429158109</v>
      </c>
      <c r="F169" s="2" t="str" cm="1">
        <f t="array" ref="F169">_xlfn.IFS(E169&lt;25,"Under 25",E169&lt;40,"Young Adulthood",E169&lt;60,"Middle Adulthood",E169&gt;=60,"Older Adulthood")</f>
        <v>Middle Adulthood</v>
      </c>
      <c r="G169" s="1" t="s">
        <v>23</v>
      </c>
      <c r="H169" s="1" t="s">
        <v>53</v>
      </c>
      <c r="I169" s="1" t="s">
        <v>50</v>
      </c>
      <c r="J169" s="1" t="s">
        <v>53</v>
      </c>
      <c r="K169" s="1" t="s">
        <v>54</v>
      </c>
      <c r="L169" s="1">
        <v>0.4</v>
      </c>
      <c r="M169" s="1">
        <v>257</v>
      </c>
      <c r="N169" s="1">
        <v>3.8</v>
      </c>
      <c r="O169" s="1">
        <v>44</v>
      </c>
      <c r="P169" s="1">
        <v>842</v>
      </c>
      <c r="Q169" s="1">
        <v>97.65</v>
      </c>
      <c r="R169" s="1">
        <v>110</v>
      </c>
      <c r="S169" s="1">
        <v>251</v>
      </c>
      <c r="T169" s="1">
        <v>9.1999999999999993</v>
      </c>
      <c r="U169" s="1">
        <v>2</v>
      </c>
    </row>
    <row r="170" spans="1:21" x14ac:dyDescent="0.35">
      <c r="A170" s="1">
        <v>169</v>
      </c>
      <c r="B170" s="1">
        <v>1212</v>
      </c>
      <c r="C170" s="1" t="s">
        <v>49</v>
      </c>
      <c r="D170" s="1" t="s">
        <v>26</v>
      </c>
      <c r="E170" s="2">
        <v>35.49075975359343</v>
      </c>
      <c r="F170" s="2" t="str" cm="1">
        <f t="array" ref="F170">_xlfn.IFS(E170&lt;25,"Under 25",E170&lt;40,"Young Adulthood",E170&lt;60,"Middle Adulthood",E170&gt;=60,"Older Adulthood")</f>
        <v>Young Adulthood</v>
      </c>
      <c r="G170" s="1" t="s">
        <v>23</v>
      </c>
      <c r="H170" s="1" t="s">
        <v>53</v>
      </c>
      <c r="I170" s="1" t="s">
        <v>53</v>
      </c>
      <c r="J170" s="1" t="s">
        <v>53</v>
      </c>
      <c r="K170" s="1" t="s">
        <v>54</v>
      </c>
      <c r="L170" s="1">
        <v>1.3</v>
      </c>
      <c r="M170" s="1">
        <v>408</v>
      </c>
      <c r="N170" s="1">
        <v>4.22</v>
      </c>
      <c r="O170" s="1">
        <v>67</v>
      </c>
      <c r="P170" s="1">
        <v>1387</v>
      </c>
      <c r="Q170" s="1">
        <v>142.6</v>
      </c>
      <c r="R170" s="1">
        <v>137</v>
      </c>
      <c r="S170" s="1">
        <v>295</v>
      </c>
      <c r="T170" s="1">
        <v>10.1</v>
      </c>
      <c r="U170" s="1">
        <v>3</v>
      </c>
    </row>
    <row r="171" spans="1:21" x14ac:dyDescent="0.35">
      <c r="A171" s="1">
        <v>170</v>
      </c>
      <c r="B171" s="1">
        <v>2692</v>
      </c>
      <c r="C171" s="1" t="s">
        <v>52</v>
      </c>
      <c r="D171" s="1" t="s">
        <v>21</v>
      </c>
      <c r="E171" s="2">
        <v>48.662559890485966</v>
      </c>
      <c r="F171" s="2" t="str" cm="1">
        <f t="array" ref="F171">_xlfn.IFS(E171&lt;25,"Under 25",E171&lt;40,"Young Adulthood",E171&lt;60,"Middle Adulthood",E171&gt;=60,"Older Adulthood")</f>
        <v>Middle Adulthood</v>
      </c>
      <c r="G171" s="1" t="s">
        <v>23</v>
      </c>
      <c r="H171" s="1" t="s">
        <v>53</v>
      </c>
      <c r="I171" s="1" t="s">
        <v>53</v>
      </c>
      <c r="J171" s="1" t="s">
        <v>53</v>
      </c>
      <c r="K171" s="1" t="s">
        <v>54</v>
      </c>
      <c r="L171" s="1">
        <v>1.2</v>
      </c>
      <c r="M171" s="1">
        <v>390</v>
      </c>
      <c r="N171" s="1">
        <v>3.61</v>
      </c>
      <c r="O171" s="1">
        <v>32</v>
      </c>
      <c r="P171" s="1">
        <v>1509</v>
      </c>
      <c r="Q171" s="1">
        <v>88.35</v>
      </c>
      <c r="R171" s="1">
        <v>52</v>
      </c>
      <c r="S171" s="1">
        <v>263</v>
      </c>
      <c r="T171" s="1">
        <v>9</v>
      </c>
      <c r="U171" s="1">
        <v>3</v>
      </c>
    </row>
    <row r="172" spans="1:21" x14ac:dyDescent="0.35">
      <c r="A172" s="1">
        <v>171</v>
      </c>
      <c r="B172" s="1">
        <v>2574</v>
      </c>
      <c r="C172" s="1" t="s">
        <v>52</v>
      </c>
      <c r="D172" s="1" t="s">
        <v>21</v>
      </c>
      <c r="E172" s="2">
        <v>52.668035592060235</v>
      </c>
      <c r="F172" s="2" t="str" cm="1">
        <f t="array" ref="F172">_xlfn.IFS(E172&lt;25,"Under 25",E172&lt;40,"Young Adulthood",E172&lt;60,"Middle Adulthood",E172&gt;=60,"Older Adulthood")</f>
        <v>Middle Adulthood</v>
      </c>
      <c r="G172" s="1" t="s">
        <v>23</v>
      </c>
      <c r="H172" s="1" t="s">
        <v>53</v>
      </c>
      <c r="I172" s="1" t="s">
        <v>53</v>
      </c>
      <c r="J172" s="1" t="s">
        <v>53</v>
      </c>
      <c r="K172" s="1" t="s">
        <v>54</v>
      </c>
      <c r="L172" s="1">
        <v>0.5</v>
      </c>
      <c r="M172" s="1">
        <v>309.5</v>
      </c>
      <c r="N172" s="1">
        <v>4.5199999999999996</v>
      </c>
      <c r="O172" s="1">
        <v>31</v>
      </c>
      <c r="P172" s="1">
        <v>784</v>
      </c>
      <c r="Q172" s="1">
        <v>74.400000000000006</v>
      </c>
      <c r="R172" s="1">
        <v>108</v>
      </c>
      <c r="S172" s="1">
        <v>361</v>
      </c>
      <c r="T172" s="1">
        <v>10.1</v>
      </c>
      <c r="U172" s="1">
        <v>3</v>
      </c>
    </row>
    <row r="173" spans="1:21" x14ac:dyDescent="0.35">
      <c r="A173" s="1">
        <v>172</v>
      </c>
      <c r="B173" s="1">
        <v>2301</v>
      </c>
      <c r="C173" s="1" t="s">
        <v>52</v>
      </c>
      <c r="D173" s="1" t="s">
        <v>26</v>
      </c>
      <c r="E173" s="2">
        <v>49.869952087611225</v>
      </c>
      <c r="F173" s="2" t="str" cm="1">
        <f t="array" ref="F173">_xlfn.IFS(E173&lt;25,"Under 25",E173&lt;40,"Young Adulthood",E173&lt;60,"Middle Adulthood",E173&gt;=60,"Older Adulthood")</f>
        <v>Middle Adulthood</v>
      </c>
      <c r="G173" s="1" t="s">
        <v>23</v>
      </c>
      <c r="H173" s="1" t="s">
        <v>53</v>
      </c>
      <c r="I173" s="1" t="s">
        <v>53</v>
      </c>
      <c r="J173" s="1" t="s">
        <v>50</v>
      </c>
      <c r="K173" s="1" t="s">
        <v>54</v>
      </c>
      <c r="L173" s="1">
        <v>1.3</v>
      </c>
      <c r="M173" s="1">
        <v>205</v>
      </c>
      <c r="N173" s="1">
        <v>3.34</v>
      </c>
      <c r="O173" s="1">
        <v>65</v>
      </c>
      <c r="P173" s="1">
        <v>1031</v>
      </c>
      <c r="Q173" s="1">
        <v>91.45</v>
      </c>
      <c r="R173" s="1">
        <v>126</v>
      </c>
      <c r="S173" s="1">
        <v>217</v>
      </c>
      <c r="T173" s="1">
        <v>9.8000000000000007</v>
      </c>
      <c r="U173" s="1">
        <v>3</v>
      </c>
    </row>
    <row r="174" spans="1:21" x14ac:dyDescent="0.35">
      <c r="A174" s="1">
        <v>173</v>
      </c>
      <c r="B174" s="1">
        <v>2657</v>
      </c>
      <c r="C174" s="1" t="s">
        <v>52</v>
      </c>
      <c r="D174" s="1" t="s">
        <v>21</v>
      </c>
      <c r="E174" s="2">
        <v>30.275154004106778</v>
      </c>
      <c r="F174" s="2" t="str" cm="1">
        <f t="array" ref="F174">_xlfn.IFS(E174&lt;25,"Under 25",E174&lt;40,"Young Adulthood",E174&lt;60,"Middle Adulthood",E174&gt;=60,"Older Adulthood")</f>
        <v>Young Adulthood</v>
      </c>
      <c r="G174" s="1" t="s">
        <v>23</v>
      </c>
      <c r="H174" s="1" t="s">
        <v>53</v>
      </c>
      <c r="I174" s="1" t="s">
        <v>50</v>
      </c>
      <c r="J174" s="1" t="s">
        <v>50</v>
      </c>
      <c r="K174" s="1" t="s">
        <v>54</v>
      </c>
      <c r="L174" s="1">
        <v>3</v>
      </c>
      <c r="M174" s="1">
        <v>236</v>
      </c>
      <c r="N174" s="1">
        <v>3.42</v>
      </c>
      <c r="O174" s="1">
        <v>76</v>
      </c>
      <c r="P174" s="1">
        <v>1403</v>
      </c>
      <c r="Q174" s="1">
        <v>89.9</v>
      </c>
      <c r="R174" s="1">
        <v>86</v>
      </c>
      <c r="S174" s="1">
        <v>493</v>
      </c>
      <c r="T174" s="1">
        <v>9.8000000000000007</v>
      </c>
      <c r="U174" s="1">
        <v>2</v>
      </c>
    </row>
    <row r="175" spans="1:21" x14ac:dyDescent="0.35">
      <c r="A175" s="1">
        <v>174</v>
      </c>
      <c r="B175" s="1">
        <v>2644</v>
      </c>
      <c r="C175" s="1" t="s">
        <v>52</v>
      </c>
      <c r="D175" s="1" t="s">
        <v>21</v>
      </c>
      <c r="E175" s="2">
        <v>55.567419575633132</v>
      </c>
      <c r="F175" s="2" t="str" cm="1">
        <f t="array" ref="F175">_xlfn.IFS(E175&lt;25,"Under 25",E175&lt;40,"Young Adulthood",E175&lt;60,"Middle Adulthood",E175&gt;=60,"Older Adulthood")</f>
        <v>Middle Adulthood</v>
      </c>
      <c r="G175" s="1" t="s">
        <v>23</v>
      </c>
      <c r="H175" s="1" t="s">
        <v>53</v>
      </c>
      <c r="I175" s="1" t="s">
        <v>53</v>
      </c>
      <c r="J175" s="1" t="s">
        <v>53</v>
      </c>
      <c r="K175" s="1" t="s">
        <v>54</v>
      </c>
      <c r="L175" s="1">
        <v>0.5</v>
      </c>
      <c r="M175" s="1">
        <v>309.5</v>
      </c>
      <c r="N175" s="1">
        <v>3.85</v>
      </c>
      <c r="O175" s="1">
        <v>63</v>
      </c>
      <c r="P175" s="1">
        <v>663</v>
      </c>
      <c r="Q175" s="1">
        <v>79.05</v>
      </c>
      <c r="R175" s="1">
        <v>108</v>
      </c>
      <c r="S175" s="1">
        <v>311</v>
      </c>
      <c r="T175" s="1">
        <v>9.6999999999999993</v>
      </c>
      <c r="U175" s="1">
        <v>1</v>
      </c>
    </row>
    <row r="176" spans="1:21" x14ac:dyDescent="0.35">
      <c r="A176" s="1">
        <v>175</v>
      </c>
      <c r="B176" s="1">
        <v>2624</v>
      </c>
      <c r="C176" s="1" t="s">
        <v>52</v>
      </c>
      <c r="D176" s="1" t="s">
        <v>26</v>
      </c>
      <c r="E176" s="2">
        <v>52.153319644079396</v>
      </c>
      <c r="F176" s="2" t="str" cm="1">
        <f t="array" ref="F176">_xlfn.IFS(E176&lt;25,"Under 25",E176&lt;40,"Young Adulthood",E176&lt;60,"Middle Adulthood",E176&gt;=60,"Older Adulthood")</f>
        <v>Middle Adulthood</v>
      </c>
      <c r="G176" s="1" t="s">
        <v>23</v>
      </c>
      <c r="H176" s="1" t="s">
        <v>53</v>
      </c>
      <c r="I176" s="1" t="s">
        <v>53</v>
      </c>
      <c r="J176" s="1" t="s">
        <v>53</v>
      </c>
      <c r="K176" s="1" t="s">
        <v>54</v>
      </c>
      <c r="L176" s="1">
        <v>0.8</v>
      </c>
      <c r="M176" s="1">
        <v>283</v>
      </c>
      <c r="N176" s="1">
        <v>3.8</v>
      </c>
      <c r="O176" s="1">
        <v>152</v>
      </c>
      <c r="P176" s="1">
        <v>718</v>
      </c>
      <c r="Q176" s="1">
        <v>108.5</v>
      </c>
      <c r="R176" s="1">
        <v>168</v>
      </c>
      <c r="S176" s="1">
        <v>340</v>
      </c>
      <c r="T176" s="1">
        <v>10.1</v>
      </c>
      <c r="U176" s="1">
        <v>3</v>
      </c>
    </row>
    <row r="177" spans="1:21" x14ac:dyDescent="0.35">
      <c r="A177" s="1">
        <v>176</v>
      </c>
      <c r="B177" s="1">
        <v>1492</v>
      </c>
      <c r="C177" s="1" t="s">
        <v>49</v>
      </c>
      <c r="D177" s="1" t="s">
        <v>21</v>
      </c>
      <c r="E177" s="2">
        <v>41.609856262833674</v>
      </c>
      <c r="F177" s="2" t="str" cm="1">
        <f t="array" ref="F177">_xlfn.IFS(E177&lt;25,"Under 25",E177&lt;40,"Young Adulthood",E177&lt;60,"Middle Adulthood",E177&gt;=60,"Older Adulthood")</f>
        <v>Middle Adulthood</v>
      </c>
      <c r="G177" s="1" t="s">
        <v>23</v>
      </c>
      <c r="H177" s="1" t="s">
        <v>53</v>
      </c>
      <c r="I177" s="1" t="s">
        <v>50</v>
      </c>
      <c r="J177" s="1" t="s">
        <v>50</v>
      </c>
      <c r="K177" s="1" t="s">
        <v>54</v>
      </c>
      <c r="L177" s="1">
        <v>3.2</v>
      </c>
      <c r="M177" s="1">
        <v>309.5</v>
      </c>
      <c r="N177" s="1">
        <v>3.56</v>
      </c>
      <c r="O177" s="1">
        <v>77</v>
      </c>
      <c r="P177" s="1">
        <v>1790</v>
      </c>
      <c r="Q177" s="1">
        <v>139.5</v>
      </c>
      <c r="R177" s="1">
        <v>108</v>
      </c>
      <c r="S177" s="1">
        <v>149</v>
      </c>
      <c r="T177" s="1">
        <v>10.1</v>
      </c>
      <c r="U177" s="1">
        <v>4</v>
      </c>
    </row>
    <row r="178" spans="1:21" x14ac:dyDescent="0.35">
      <c r="A178" s="1">
        <v>177</v>
      </c>
      <c r="B178" s="1">
        <v>2609</v>
      </c>
      <c r="C178" s="1" t="s">
        <v>52</v>
      </c>
      <c r="D178" s="1" t="s">
        <v>26</v>
      </c>
      <c r="E178" s="2">
        <v>55.452429842573579</v>
      </c>
      <c r="F178" s="2" t="str" cm="1">
        <f t="array" ref="F178">_xlfn.IFS(E178&lt;25,"Under 25",E178&lt;40,"Young Adulthood",E178&lt;60,"Middle Adulthood",E178&gt;=60,"Older Adulthood")</f>
        <v>Middle Adulthood</v>
      </c>
      <c r="G178" s="1" t="s">
        <v>23</v>
      </c>
      <c r="H178" s="1" t="s">
        <v>53</v>
      </c>
      <c r="I178" s="1" t="s">
        <v>53</v>
      </c>
      <c r="J178" s="1" t="s">
        <v>53</v>
      </c>
      <c r="K178" s="1" t="s">
        <v>54</v>
      </c>
      <c r="L178" s="1">
        <v>0.9</v>
      </c>
      <c r="M178" s="1">
        <v>258</v>
      </c>
      <c r="N178" s="1">
        <v>4.01</v>
      </c>
      <c r="O178" s="1">
        <v>49</v>
      </c>
      <c r="P178" s="1">
        <v>559</v>
      </c>
      <c r="Q178" s="1">
        <v>43.4</v>
      </c>
      <c r="R178" s="1">
        <v>133</v>
      </c>
      <c r="S178" s="1">
        <v>277</v>
      </c>
      <c r="T178" s="1">
        <v>10.4</v>
      </c>
      <c r="U178" s="1">
        <v>2</v>
      </c>
    </row>
    <row r="179" spans="1:21" x14ac:dyDescent="0.35">
      <c r="A179" s="1">
        <v>178</v>
      </c>
      <c r="B179" s="1">
        <v>2580</v>
      </c>
      <c r="C179" s="1" t="s">
        <v>52</v>
      </c>
      <c r="D179" s="1" t="s">
        <v>21</v>
      </c>
      <c r="E179" s="2">
        <v>70.004106776180691</v>
      </c>
      <c r="F179" s="2" t="str" cm="1">
        <f t="array" ref="F179">_xlfn.IFS(E179&lt;25,"Under 25",E179&lt;40,"Young Adulthood",E179&lt;60,"Middle Adulthood",E179&gt;=60,"Older Adulthood")</f>
        <v>Older Adulthood</v>
      </c>
      <c r="G179" s="1" t="s">
        <v>23</v>
      </c>
      <c r="H179" s="1" t="s">
        <v>53</v>
      </c>
      <c r="I179" s="1" t="s">
        <v>53</v>
      </c>
      <c r="J179" s="1" t="s">
        <v>53</v>
      </c>
      <c r="K179" s="1" t="s">
        <v>54</v>
      </c>
      <c r="L179" s="1">
        <v>0.6</v>
      </c>
      <c r="M179" s="1">
        <v>309.5</v>
      </c>
      <c r="N179" s="1">
        <v>4.08</v>
      </c>
      <c r="O179" s="1">
        <v>51</v>
      </c>
      <c r="P179" s="1">
        <v>665</v>
      </c>
      <c r="Q179" s="1">
        <v>74.400000000000006</v>
      </c>
      <c r="R179" s="1">
        <v>108</v>
      </c>
      <c r="S179" s="1">
        <v>325</v>
      </c>
      <c r="T179" s="1">
        <v>10.199999999999999</v>
      </c>
      <c r="U179" s="1">
        <v>4</v>
      </c>
    </row>
    <row r="180" spans="1:21" x14ac:dyDescent="0.35">
      <c r="A180" s="1">
        <v>179</v>
      </c>
      <c r="B180" s="1">
        <v>2573</v>
      </c>
      <c r="C180" s="1" t="s">
        <v>52</v>
      </c>
      <c r="D180" s="1" t="s">
        <v>26</v>
      </c>
      <c r="E180" s="2">
        <v>43.942505133470227</v>
      </c>
      <c r="F180" s="2" t="str" cm="1">
        <f t="array" ref="F180">_xlfn.IFS(E180&lt;25,"Under 25",E180&lt;40,"Young Adulthood",E180&lt;60,"Middle Adulthood",E180&gt;=60,"Older Adulthood")</f>
        <v>Middle Adulthood</v>
      </c>
      <c r="G180" s="1" t="s">
        <v>23</v>
      </c>
      <c r="H180" s="1" t="s">
        <v>53</v>
      </c>
      <c r="I180" s="1" t="s">
        <v>50</v>
      </c>
      <c r="J180" s="1" t="s">
        <v>53</v>
      </c>
      <c r="K180" s="1" t="s">
        <v>54</v>
      </c>
      <c r="L180" s="1">
        <v>1.8</v>
      </c>
      <c r="M180" s="1">
        <v>396</v>
      </c>
      <c r="N180" s="1">
        <v>3.83</v>
      </c>
      <c r="O180" s="1">
        <v>39</v>
      </c>
      <c r="P180" s="1">
        <v>2148</v>
      </c>
      <c r="Q180" s="1">
        <v>102.3</v>
      </c>
      <c r="R180" s="1">
        <v>133</v>
      </c>
      <c r="S180" s="1">
        <v>278</v>
      </c>
      <c r="T180" s="1">
        <v>9.9</v>
      </c>
      <c r="U180" s="1">
        <v>4</v>
      </c>
    </row>
    <row r="181" spans="1:21" x14ac:dyDescent="0.35">
      <c r="A181" s="1">
        <v>180</v>
      </c>
      <c r="B181" s="1">
        <v>2563</v>
      </c>
      <c r="C181" s="1" t="s">
        <v>52</v>
      </c>
      <c r="D181" s="1" t="s">
        <v>26</v>
      </c>
      <c r="E181" s="2">
        <v>42.568104038329913</v>
      </c>
      <c r="F181" s="2" t="str" cm="1">
        <f t="array" ref="F181">_xlfn.IFS(E181&lt;25,"Under 25",E181&lt;40,"Young Adulthood",E181&lt;60,"Middle Adulthood",E181&gt;=60,"Older Adulthood")</f>
        <v>Middle Adulthood</v>
      </c>
      <c r="G181" s="1" t="s">
        <v>23</v>
      </c>
      <c r="H181" s="1" t="s">
        <v>53</v>
      </c>
      <c r="I181" s="1" t="s">
        <v>53</v>
      </c>
      <c r="J181" s="1" t="s">
        <v>53</v>
      </c>
      <c r="K181" s="1" t="s">
        <v>54</v>
      </c>
      <c r="L181" s="1">
        <v>4.7</v>
      </c>
      <c r="M181" s="1">
        <v>478</v>
      </c>
      <c r="N181" s="1">
        <v>4.38</v>
      </c>
      <c r="O181" s="1">
        <v>44</v>
      </c>
      <c r="P181" s="1">
        <v>1629</v>
      </c>
      <c r="Q181" s="1">
        <v>237.15</v>
      </c>
      <c r="R181" s="1">
        <v>76</v>
      </c>
      <c r="S181" s="1">
        <v>175</v>
      </c>
      <c r="T181" s="1">
        <v>10.4</v>
      </c>
      <c r="U181" s="1">
        <v>3</v>
      </c>
    </row>
    <row r="182" spans="1:21" x14ac:dyDescent="0.35">
      <c r="A182" s="1">
        <v>181</v>
      </c>
      <c r="B182" s="1">
        <v>2556</v>
      </c>
      <c r="C182" s="1" t="s">
        <v>52</v>
      </c>
      <c r="D182" s="1" t="s">
        <v>21</v>
      </c>
      <c r="E182" s="2">
        <v>44.569472963723477</v>
      </c>
      <c r="F182" s="2" t="str" cm="1">
        <f t="array" ref="F182">_xlfn.IFS(E182&lt;25,"Under 25",E182&lt;40,"Young Adulthood",E182&lt;60,"Middle Adulthood",E182&gt;=60,"Older Adulthood")</f>
        <v>Middle Adulthood</v>
      </c>
      <c r="G182" s="1" t="s">
        <v>23</v>
      </c>
      <c r="H182" s="1" t="s">
        <v>53</v>
      </c>
      <c r="I182" s="1" t="s">
        <v>50</v>
      </c>
      <c r="J182" s="1" t="s">
        <v>50</v>
      </c>
      <c r="K182" s="1" t="s">
        <v>54</v>
      </c>
      <c r="L182" s="1">
        <v>1.4</v>
      </c>
      <c r="M182" s="1">
        <v>248</v>
      </c>
      <c r="N182" s="1">
        <v>3.58</v>
      </c>
      <c r="O182" s="1">
        <v>63</v>
      </c>
      <c r="P182" s="1">
        <v>554</v>
      </c>
      <c r="Q182" s="1">
        <v>75.95</v>
      </c>
      <c r="R182" s="1">
        <v>106</v>
      </c>
      <c r="S182" s="1">
        <v>79</v>
      </c>
      <c r="T182" s="1">
        <v>10.3</v>
      </c>
      <c r="U182" s="1">
        <v>4</v>
      </c>
    </row>
    <row r="183" spans="1:21" x14ac:dyDescent="0.35">
      <c r="A183" s="1">
        <v>182</v>
      </c>
      <c r="B183" s="1">
        <v>2555</v>
      </c>
      <c r="C183" s="1" t="s">
        <v>52</v>
      </c>
      <c r="D183" s="1" t="s">
        <v>21</v>
      </c>
      <c r="E183" s="2">
        <v>56.944558521560573</v>
      </c>
      <c r="F183" s="2" t="str" cm="1">
        <f t="array" ref="F183">_xlfn.IFS(E183&lt;25,"Under 25",E183&lt;40,"Young Adulthood",E183&lt;60,"Middle Adulthood",E183&gt;=60,"Older Adulthood")</f>
        <v>Middle Adulthood</v>
      </c>
      <c r="G183" s="1" t="s">
        <v>23</v>
      </c>
      <c r="H183" s="1" t="s">
        <v>53</v>
      </c>
      <c r="I183" s="1" t="s">
        <v>50</v>
      </c>
      <c r="J183" s="1" t="s">
        <v>53</v>
      </c>
      <c r="K183" s="1" t="s">
        <v>54</v>
      </c>
      <c r="L183" s="1">
        <v>0.6</v>
      </c>
      <c r="M183" s="1">
        <v>309.5</v>
      </c>
      <c r="N183" s="1">
        <v>3.69</v>
      </c>
      <c r="O183" s="1">
        <v>161</v>
      </c>
      <c r="P183" s="1">
        <v>674</v>
      </c>
      <c r="Q183" s="1">
        <v>26.35</v>
      </c>
      <c r="R183" s="1">
        <v>108</v>
      </c>
      <c r="S183" s="1">
        <v>539</v>
      </c>
      <c r="T183" s="1">
        <v>9.9</v>
      </c>
      <c r="U183" s="1">
        <v>2</v>
      </c>
    </row>
    <row r="184" spans="1:21" x14ac:dyDescent="0.35">
      <c r="A184" s="1">
        <v>183</v>
      </c>
      <c r="B184" s="1">
        <v>2241</v>
      </c>
      <c r="C184" s="1" t="s">
        <v>56</v>
      </c>
      <c r="D184" s="1" t="s">
        <v>26</v>
      </c>
      <c r="E184" s="2">
        <v>40.260095824777551</v>
      </c>
      <c r="F184" s="2" t="str" cm="1">
        <f t="array" ref="F184">_xlfn.IFS(E184&lt;25,"Under 25",E184&lt;40,"Young Adulthood",E184&lt;60,"Middle Adulthood",E184&gt;=60,"Older Adulthood")</f>
        <v>Middle Adulthood</v>
      </c>
      <c r="G184" s="1" t="s">
        <v>23</v>
      </c>
      <c r="H184" s="1" t="s">
        <v>53</v>
      </c>
      <c r="I184" s="1" t="s">
        <v>53</v>
      </c>
      <c r="J184" s="1" t="s">
        <v>53</v>
      </c>
      <c r="K184" s="1" t="s">
        <v>54</v>
      </c>
      <c r="L184" s="1">
        <v>0.5</v>
      </c>
      <c r="M184" s="1">
        <v>201</v>
      </c>
      <c r="N184" s="1">
        <v>3.73</v>
      </c>
      <c r="O184" s="1">
        <v>44</v>
      </c>
      <c r="P184" s="1">
        <v>1345</v>
      </c>
      <c r="Q184" s="1">
        <v>54.25</v>
      </c>
      <c r="R184" s="1">
        <v>145</v>
      </c>
      <c r="S184" s="1">
        <v>445</v>
      </c>
      <c r="T184" s="1">
        <v>10.1</v>
      </c>
      <c r="U184" s="1">
        <v>2</v>
      </c>
    </row>
    <row r="185" spans="1:21" x14ac:dyDescent="0.35">
      <c r="A185" s="1">
        <v>184</v>
      </c>
      <c r="B185" s="1">
        <v>974</v>
      </c>
      <c r="C185" s="1" t="s">
        <v>49</v>
      </c>
      <c r="D185" s="1" t="s">
        <v>26</v>
      </c>
      <c r="E185" s="2">
        <v>37.607118412046546</v>
      </c>
      <c r="F185" s="2" t="str" cm="1">
        <f t="array" ref="F185">_xlfn.IFS(E185&lt;25,"Under 25",E185&lt;40,"Young Adulthood",E185&lt;60,"Middle Adulthood",E185&gt;=60,"Older Adulthood")</f>
        <v>Young Adulthood</v>
      </c>
      <c r="G185" s="1" t="s">
        <v>23</v>
      </c>
      <c r="H185" s="1" t="s">
        <v>53</v>
      </c>
      <c r="I185" s="1" t="s">
        <v>50</v>
      </c>
      <c r="J185" s="1" t="s">
        <v>53</v>
      </c>
      <c r="K185" s="1" t="s">
        <v>54</v>
      </c>
      <c r="L185" s="1">
        <v>11</v>
      </c>
      <c r="M185" s="1">
        <v>674</v>
      </c>
      <c r="N185" s="1">
        <v>3.55</v>
      </c>
      <c r="O185" s="1">
        <v>358</v>
      </c>
      <c r="P185" s="1">
        <v>2412</v>
      </c>
      <c r="Q185" s="1">
        <v>167.4</v>
      </c>
      <c r="R185" s="1">
        <v>140</v>
      </c>
      <c r="S185" s="1">
        <v>471</v>
      </c>
      <c r="T185" s="1">
        <v>9.8000000000000007</v>
      </c>
      <c r="U185" s="1">
        <v>3</v>
      </c>
    </row>
    <row r="186" spans="1:21" x14ac:dyDescent="0.35">
      <c r="A186" s="1">
        <v>185</v>
      </c>
      <c r="B186" s="1">
        <v>2527</v>
      </c>
      <c r="C186" s="1" t="s">
        <v>52</v>
      </c>
      <c r="D186" s="1" t="s">
        <v>21</v>
      </c>
      <c r="E186" s="2">
        <v>48.361396303901437</v>
      </c>
      <c r="F186" s="2" t="str" cm="1">
        <f t="array" ref="F186">_xlfn.IFS(E186&lt;25,"Under 25",E186&lt;40,"Young Adulthood",E186&lt;60,"Middle Adulthood",E186&gt;=60,"Older Adulthood")</f>
        <v>Middle Adulthood</v>
      </c>
      <c r="G186" s="1" t="s">
        <v>23</v>
      </c>
      <c r="H186" s="1" t="s">
        <v>53</v>
      </c>
      <c r="I186" s="1" t="s">
        <v>53</v>
      </c>
      <c r="J186" s="1" t="s">
        <v>53</v>
      </c>
      <c r="K186" s="1" t="s">
        <v>54</v>
      </c>
      <c r="L186" s="1">
        <v>0.8</v>
      </c>
      <c r="M186" s="1">
        <v>256</v>
      </c>
      <c r="N186" s="1">
        <v>3.54</v>
      </c>
      <c r="O186" s="1">
        <v>42</v>
      </c>
      <c r="P186" s="1">
        <v>1132</v>
      </c>
      <c r="Q186" s="1">
        <v>74.400000000000006</v>
      </c>
      <c r="R186" s="1">
        <v>94</v>
      </c>
      <c r="S186" s="1">
        <v>192</v>
      </c>
      <c r="T186" s="1">
        <v>10.5</v>
      </c>
      <c r="U186" s="1">
        <v>3</v>
      </c>
    </row>
    <row r="187" spans="1:21" x14ac:dyDescent="0.35">
      <c r="A187" s="1">
        <v>186</v>
      </c>
      <c r="B187" s="1">
        <v>1576</v>
      </c>
      <c r="C187" s="1" t="s">
        <v>49</v>
      </c>
      <c r="D187" s="1" t="s">
        <v>21</v>
      </c>
      <c r="E187" s="2">
        <v>70.836413415468854</v>
      </c>
      <c r="F187" s="2" t="str" cm="1">
        <f t="array" ref="F187">_xlfn.IFS(E187&lt;25,"Under 25",E187&lt;40,"Young Adulthood",E187&lt;60,"Middle Adulthood",E187&gt;=60,"Older Adulthood")</f>
        <v>Older Adulthood</v>
      </c>
      <c r="G187" s="1" t="s">
        <v>23</v>
      </c>
      <c r="H187" s="1" t="s">
        <v>53</v>
      </c>
      <c r="I187" s="1" t="s">
        <v>53</v>
      </c>
      <c r="J187" s="1" t="s">
        <v>50</v>
      </c>
      <c r="K187" s="1" t="s">
        <v>55</v>
      </c>
      <c r="L187" s="1">
        <v>2</v>
      </c>
      <c r="M187" s="1">
        <v>225</v>
      </c>
      <c r="N187" s="1">
        <v>3.53</v>
      </c>
      <c r="O187" s="1">
        <v>51</v>
      </c>
      <c r="P187" s="1">
        <v>933</v>
      </c>
      <c r="Q187" s="1">
        <v>69.75</v>
      </c>
      <c r="R187" s="1">
        <v>62</v>
      </c>
      <c r="S187" s="1">
        <v>200</v>
      </c>
      <c r="T187" s="1">
        <v>12.7</v>
      </c>
      <c r="U187" s="1">
        <v>3</v>
      </c>
    </row>
    <row r="188" spans="1:21" x14ac:dyDescent="0.35">
      <c r="A188" s="1">
        <v>187</v>
      </c>
      <c r="B188" s="1">
        <v>733</v>
      </c>
      <c r="C188" s="1" t="s">
        <v>49</v>
      </c>
      <c r="D188" s="1" t="s">
        <v>26</v>
      </c>
      <c r="E188" s="2">
        <v>35.791923340177959</v>
      </c>
      <c r="F188" s="2" t="str" cm="1">
        <f t="array" ref="F188">_xlfn.IFS(E188&lt;25,"Under 25",E188&lt;40,"Young Adulthood",E188&lt;60,"Middle Adulthood",E188&gt;=60,"Older Adulthood")</f>
        <v>Young Adulthood</v>
      </c>
      <c r="G188" s="1" t="s">
        <v>23</v>
      </c>
      <c r="H188" s="1" t="s">
        <v>53</v>
      </c>
      <c r="I188" s="1" t="s">
        <v>50</v>
      </c>
      <c r="J188" s="1" t="s">
        <v>53</v>
      </c>
      <c r="K188" s="1" t="s">
        <v>54</v>
      </c>
      <c r="L188" s="1">
        <v>14</v>
      </c>
      <c r="M188" s="1">
        <v>808</v>
      </c>
      <c r="N188" s="1">
        <v>3.43</v>
      </c>
      <c r="O188" s="1">
        <v>251</v>
      </c>
      <c r="P188" s="1">
        <v>2870</v>
      </c>
      <c r="Q188" s="1">
        <v>153.44999999999999</v>
      </c>
      <c r="R188" s="1">
        <v>137</v>
      </c>
      <c r="S188" s="1">
        <v>268</v>
      </c>
      <c r="T188" s="1">
        <v>11.5</v>
      </c>
      <c r="U188" s="1">
        <v>3</v>
      </c>
    </row>
    <row r="189" spans="1:21" x14ac:dyDescent="0.35">
      <c r="A189" s="1">
        <v>188</v>
      </c>
      <c r="B189" s="1">
        <v>2332</v>
      </c>
      <c r="C189" s="1" t="s">
        <v>52</v>
      </c>
      <c r="D189" s="1" t="s">
        <v>21</v>
      </c>
      <c r="E189" s="2">
        <v>62.622861054072551</v>
      </c>
      <c r="F189" s="2" t="str" cm="1">
        <f t="array" ref="F189">_xlfn.IFS(E189&lt;25,"Under 25",E189&lt;40,"Young Adulthood",E189&lt;60,"Middle Adulthood",E189&gt;=60,"Older Adulthood")</f>
        <v>Older Adulthood</v>
      </c>
      <c r="G189" s="1" t="s">
        <v>23</v>
      </c>
      <c r="H189" s="1" t="s">
        <v>53</v>
      </c>
      <c r="I189" s="1" t="s">
        <v>50</v>
      </c>
      <c r="J189" s="1" t="s">
        <v>53</v>
      </c>
      <c r="K189" s="1" t="s">
        <v>54</v>
      </c>
      <c r="L189" s="1">
        <v>0.7</v>
      </c>
      <c r="M189" s="1">
        <v>187</v>
      </c>
      <c r="N189" s="1">
        <v>3.48</v>
      </c>
      <c r="O189" s="1">
        <v>41</v>
      </c>
      <c r="P189" s="1">
        <v>654</v>
      </c>
      <c r="Q189" s="1">
        <v>120.9</v>
      </c>
      <c r="R189" s="1">
        <v>98</v>
      </c>
      <c r="S189" s="1">
        <v>164</v>
      </c>
      <c r="T189" s="1">
        <v>11</v>
      </c>
      <c r="U189" s="1">
        <v>4</v>
      </c>
    </row>
    <row r="190" spans="1:21" x14ac:dyDescent="0.35">
      <c r="A190" s="1">
        <v>189</v>
      </c>
      <c r="B190" s="1">
        <v>2456</v>
      </c>
      <c r="C190" s="1" t="s">
        <v>52</v>
      </c>
      <c r="D190" s="1" t="s">
        <v>26</v>
      </c>
      <c r="E190" s="2">
        <v>50.647501711156742</v>
      </c>
      <c r="F190" s="2" t="str" cm="1">
        <f t="array" ref="F190">_xlfn.IFS(E190&lt;25,"Under 25",E190&lt;40,"Young Adulthood",E190&lt;60,"Middle Adulthood",E190&gt;=60,"Older Adulthood")</f>
        <v>Middle Adulthood</v>
      </c>
      <c r="G190" s="1" t="s">
        <v>23</v>
      </c>
      <c r="H190" s="1" t="s">
        <v>53</v>
      </c>
      <c r="I190" s="1" t="s">
        <v>50</v>
      </c>
      <c r="J190" s="1" t="s">
        <v>53</v>
      </c>
      <c r="K190" s="1" t="s">
        <v>54</v>
      </c>
      <c r="L190" s="1">
        <v>1.3</v>
      </c>
      <c r="M190" s="1">
        <v>360</v>
      </c>
      <c r="N190" s="1">
        <v>3.63</v>
      </c>
      <c r="O190" s="1">
        <v>52</v>
      </c>
      <c r="P190" s="1">
        <v>1812</v>
      </c>
      <c r="Q190" s="1">
        <v>97.65</v>
      </c>
      <c r="R190" s="1">
        <v>164</v>
      </c>
      <c r="S190" s="1">
        <v>256</v>
      </c>
      <c r="T190" s="1">
        <v>9.9</v>
      </c>
      <c r="U190" s="1">
        <v>3</v>
      </c>
    </row>
    <row r="191" spans="1:21" x14ac:dyDescent="0.35">
      <c r="A191" s="1">
        <v>190</v>
      </c>
      <c r="B191" s="1">
        <v>2504</v>
      </c>
      <c r="C191" s="1" t="s">
        <v>52</v>
      </c>
      <c r="D191" s="1" t="s">
        <v>21</v>
      </c>
      <c r="E191" s="2">
        <v>54.527036276522928</v>
      </c>
      <c r="F191" s="2" t="str" cm="1">
        <f t="array" ref="F191">_xlfn.IFS(E191&lt;25,"Under 25",E191&lt;40,"Young Adulthood",E191&lt;60,"Middle Adulthood",E191&gt;=60,"Older Adulthood")</f>
        <v>Middle Adulthood</v>
      </c>
      <c r="G191" s="1" t="s">
        <v>23</v>
      </c>
      <c r="H191" s="1" t="s">
        <v>53</v>
      </c>
      <c r="I191" s="1" t="s">
        <v>53</v>
      </c>
      <c r="J191" s="1" t="s">
        <v>50</v>
      </c>
      <c r="K191" s="1" t="s">
        <v>54</v>
      </c>
      <c r="L191" s="1">
        <v>2.2999999999999998</v>
      </c>
      <c r="M191" s="1">
        <v>309.5</v>
      </c>
      <c r="N191" s="1">
        <v>3.93</v>
      </c>
      <c r="O191" s="1">
        <v>24</v>
      </c>
      <c r="P191" s="1">
        <v>1828</v>
      </c>
      <c r="Q191" s="1">
        <v>133.30000000000001</v>
      </c>
      <c r="R191" s="1">
        <v>108</v>
      </c>
      <c r="S191" s="1">
        <v>327</v>
      </c>
      <c r="T191" s="1">
        <v>10.199999999999999</v>
      </c>
      <c r="U191" s="1">
        <v>2</v>
      </c>
    </row>
    <row r="192" spans="1:21" x14ac:dyDescent="0.35">
      <c r="A192" s="1">
        <v>191</v>
      </c>
      <c r="B192" s="1">
        <v>216</v>
      </c>
      <c r="C192" s="1" t="s">
        <v>49</v>
      </c>
      <c r="D192" s="1" t="s">
        <v>26</v>
      </c>
      <c r="E192" s="2">
        <v>52.692676249144419</v>
      </c>
      <c r="F192" s="2" t="str" cm="1">
        <f t="array" ref="F192">_xlfn.IFS(E192&lt;25,"Under 25",E192&lt;40,"Young Adulthood",E192&lt;60,"Middle Adulthood",E192&gt;=60,"Older Adulthood")</f>
        <v>Middle Adulthood</v>
      </c>
      <c r="G192" s="1" t="s">
        <v>23</v>
      </c>
      <c r="H192" s="1" t="s">
        <v>50</v>
      </c>
      <c r="I192" s="1" t="s">
        <v>50</v>
      </c>
      <c r="J192" s="1" t="s">
        <v>50</v>
      </c>
      <c r="K192" s="1" t="s">
        <v>54</v>
      </c>
      <c r="L192" s="1">
        <v>24.5</v>
      </c>
      <c r="M192" s="1">
        <v>1092</v>
      </c>
      <c r="N192" s="1">
        <v>3.35</v>
      </c>
      <c r="O192" s="1">
        <v>233</v>
      </c>
      <c r="P192" s="1">
        <v>3740</v>
      </c>
      <c r="Q192" s="1">
        <v>147.25</v>
      </c>
      <c r="R192" s="1">
        <v>432</v>
      </c>
      <c r="S192" s="1">
        <v>399</v>
      </c>
      <c r="T192" s="1">
        <v>15.2</v>
      </c>
      <c r="U192" s="1">
        <v>4</v>
      </c>
    </row>
    <row r="193" spans="1:21" x14ac:dyDescent="0.35">
      <c r="A193" s="1">
        <v>192</v>
      </c>
      <c r="B193" s="1">
        <v>2443</v>
      </c>
      <c r="C193" s="1" t="s">
        <v>52</v>
      </c>
      <c r="D193" s="1" t="s">
        <v>21</v>
      </c>
      <c r="E193" s="2">
        <v>52.720054757015745</v>
      </c>
      <c r="F193" s="2" t="str" cm="1">
        <f t="array" ref="F193">_xlfn.IFS(E193&lt;25,"Under 25",E193&lt;40,"Young Adulthood",E193&lt;60,"Middle Adulthood",E193&gt;=60,"Older Adulthood")</f>
        <v>Middle Adulthood</v>
      </c>
      <c r="G193" s="1" t="s">
        <v>23</v>
      </c>
      <c r="H193" s="1" t="s">
        <v>53</v>
      </c>
      <c r="I193" s="1" t="s">
        <v>50</v>
      </c>
      <c r="J193" s="1" t="s">
        <v>53</v>
      </c>
      <c r="K193" s="1" t="s">
        <v>54</v>
      </c>
      <c r="L193" s="1">
        <v>0.9</v>
      </c>
      <c r="M193" s="1">
        <v>308</v>
      </c>
      <c r="N193" s="1">
        <v>3.69</v>
      </c>
      <c r="O193" s="1">
        <v>67</v>
      </c>
      <c r="P193" s="1">
        <v>696</v>
      </c>
      <c r="Q193" s="1">
        <v>51.15</v>
      </c>
      <c r="R193" s="1">
        <v>101</v>
      </c>
      <c r="S193" s="1">
        <v>344</v>
      </c>
      <c r="T193" s="1">
        <v>9.8000000000000007</v>
      </c>
      <c r="U193" s="1">
        <v>4</v>
      </c>
    </row>
    <row r="194" spans="1:21" x14ac:dyDescent="0.35">
      <c r="A194" s="1">
        <v>193</v>
      </c>
      <c r="B194" s="1">
        <v>797</v>
      </c>
      <c r="C194" s="1" t="s">
        <v>49</v>
      </c>
      <c r="D194" s="1" t="s">
        <v>26</v>
      </c>
      <c r="E194" s="2">
        <v>56.772073921971256</v>
      </c>
      <c r="F194" s="2" t="str" cm="1">
        <f t="array" ref="F194">_xlfn.IFS(E194&lt;25,"Under 25",E194&lt;40,"Young Adulthood",E194&lt;60,"Middle Adulthood",E194&gt;=60,"Older Adulthood")</f>
        <v>Middle Adulthood</v>
      </c>
      <c r="G194" s="1" t="s">
        <v>23</v>
      </c>
      <c r="H194" s="1" t="s">
        <v>53</v>
      </c>
      <c r="I194" s="1" t="s">
        <v>53</v>
      </c>
      <c r="J194" s="1" t="s">
        <v>53</v>
      </c>
      <c r="K194" s="1" t="s">
        <v>54</v>
      </c>
      <c r="L194" s="1">
        <v>10.8</v>
      </c>
      <c r="M194" s="1">
        <v>932</v>
      </c>
      <c r="N194" s="1">
        <v>3.19</v>
      </c>
      <c r="O194" s="1">
        <v>267</v>
      </c>
      <c r="P194" s="1">
        <v>2184</v>
      </c>
      <c r="Q194" s="1">
        <v>161.19999999999999</v>
      </c>
      <c r="R194" s="1">
        <v>157</v>
      </c>
      <c r="S194" s="1">
        <v>382</v>
      </c>
      <c r="T194" s="1">
        <v>10.4</v>
      </c>
      <c r="U194" s="1">
        <v>4</v>
      </c>
    </row>
    <row r="195" spans="1:21" x14ac:dyDescent="0.35">
      <c r="A195" s="1">
        <v>194</v>
      </c>
      <c r="B195" s="1">
        <v>2449</v>
      </c>
      <c r="C195" s="1" t="s">
        <v>52</v>
      </c>
      <c r="D195" s="1" t="s">
        <v>21</v>
      </c>
      <c r="E195" s="2">
        <v>44.396988364134153</v>
      </c>
      <c r="F195" s="2" t="str" cm="1">
        <f t="array" ref="F195">_xlfn.IFS(E195&lt;25,"Under 25",E195&lt;40,"Young Adulthood",E195&lt;60,"Middle Adulthood",E195&gt;=60,"Older Adulthood")</f>
        <v>Middle Adulthood</v>
      </c>
      <c r="G195" s="1" t="s">
        <v>23</v>
      </c>
      <c r="H195" s="1" t="s">
        <v>53</v>
      </c>
      <c r="I195" s="1" t="s">
        <v>53</v>
      </c>
      <c r="J195" s="1" t="s">
        <v>53</v>
      </c>
      <c r="K195" s="1" t="s">
        <v>54</v>
      </c>
      <c r="L195" s="1">
        <v>1.5</v>
      </c>
      <c r="M195" s="1">
        <v>293</v>
      </c>
      <c r="N195" s="1">
        <v>4.3</v>
      </c>
      <c r="O195" s="1">
        <v>50</v>
      </c>
      <c r="P195" s="1">
        <v>975</v>
      </c>
      <c r="Q195" s="1">
        <v>125.55</v>
      </c>
      <c r="R195" s="1">
        <v>56</v>
      </c>
      <c r="S195" s="1">
        <v>336</v>
      </c>
      <c r="T195" s="1">
        <v>9.1</v>
      </c>
      <c r="U195" s="1">
        <v>2</v>
      </c>
    </row>
    <row r="196" spans="1:21" x14ac:dyDescent="0.35">
      <c r="A196" s="1">
        <v>195</v>
      </c>
      <c r="B196" s="1">
        <v>2330</v>
      </c>
      <c r="C196" s="1" t="s">
        <v>52</v>
      </c>
      <c r="D196" s="1" t="s">
        <v>21</v>
      </c>
      <c r="E196" s="2">
        <v>29.555099247091032</v>
      </c>
      <c r="F196" s="2" t="str" cm="1">
        <f t="array" ref="F196">_xlfn.IFS(E196&lt;25,"Under 25",E196&lt;40,"Young Adulthood",E196&lt;60,"Middle Adulthood",E196&gt;=60,"Older Adulthood")</f>
        <v>Young Adulthood</v>
      </c>
      <c r="G196" s="1" t="s">
        <v>23</v>
      </c>
      <c r="H196" s="1" t="s">
        <v>53</v>
      </c>
      <c r="I196" s="1" t="s">
        <v>50</v>
      </c>
      <c r="J196" s="1" t="s">
        <v>53</v>
      </c>
      <c r="K196" s="1" t="s">
        <v>54</v>
      </c>
      <c r="L196" s="1">
        <v>3.7</v>
      </c>
      <c r="M196" s="1">
        <v>347</v>
      </c>
      <c r="N196" s="1">
        <v>3.9</v>
      </c>
      <c r="O196" s="1">
        <v>76</v>
      </c>
      <c r="P196" s="1">
        <v>2544</v>
      </c>
      <c r="Q196" s="1">
        <v>221.65</v>
      </c>
      <c r="R196" s="1">
        <v>90</v>
      </c>
      <c r="S196" s="1">
        <v>129</v>
      </c>
      <c r="T196" s="1">
        <v>11.5</v>
      </c>
      <c r="U196" s="1">
        <v>4</v>
      </c>
    </row>
    <row r="197" spans="1:21" x14ac:dyDescent="0.35">
      <c r="A197" s="1">
        <v>196</v>
      </c>
      <c r="B197" s="1">
        <v>2363</v>
      </c>
      <c r="C197" s="1" t="s">
        <v>52</v>
      </c>
      <c r="D197" s="1" t="s">
        <v>21</v>
      </c>
      <c r="E197" s="2">
        <v>57.040383299110196</v>
      </c>
      <c r="F197" s="2" t="str" cm="1">
        <f t="array" ref="F197">_xlfn.IFS(E197&lt;25,"Under 25",E197&lt;40,"Young Adulthood",E197&lt;60,"Middle Adulthood",E197&gt;=60,"Older Adulthood")</f>
        <v>Middle Adulthood</v>
      </c>
      <c r="G197" s="1" t="s">
        <v>23</v>
      </c>
      <c r="H197" s="1" t="s">
        <v>53</v>
      </c>
      <c r="I197" s="1" t="s">
        <v>50</v>
      </c>
      <c r="J197" s="1" t="s">
        <v>50</v>
      </c>
      <c r="K197" s="1" t="s">
        <v>54</v>
      </c>
      <c r="L197" s="1">
        <v>1.4</v>
      </c>
      <c r="M197" s="1">
        <v>226</v>
      </c>
      <c r="N197" s="1">
        <v>3.36</v>
      </c>
      <c r="O197" s="1">
        <v>13</v>
      </c>
      <c r="P197" s="1">
        <v>810</v>
      </c>
      <c r="Q197" s="1">
        <v>72.849999999999994</v>
      </c>
      <c r="R197" s="1">
        <v>62</v>
      </c>
      <c r="S197" s="1">
        <v>117</v>
      </c>
      <c r="T197" s="1">
        <v>11.6</v>
      </c>
      <c r="U197" s="1">
        <v>4</v>
      </c>
    </row>
    <row r="198" spans="1:21" x14ac:dyDescent="0.35">
      <c r="A198" s="1">
        <v>197</v>
      </c>
      <c r="B198" s="1">
        <v>2365</v>
      </c>
      <c r="C198" s="1" t="s">
        <v>52</v>
      </c>
      <c r="D198" s="1" t="s">
        <v>21</v>
      </c>
      <c r="E198" s="2">
        <v>44.62696783025325</v>
      </c>
      <c r="F198" s="2" t="str" cm="1">
        <f t="array" ref="F198">_xlfn.IFS(E198&lt;25,"Under 25",E198&lt;40,"Young Adulthood",E198&lt;60,"Middle Adulthood",E198&gt;=60,"Older Adulthood")</f>
        <v>Middle Adulthood</v>
      </c>
      <c r="G198" s="1" t="s">
        <v>23</v>
      </c>
      <c r="H198" s="1" t="s">
        <v>53</v>
      </c>
      <c r="I198" s="1" t="s">
        <v>53</v>
      </c>
      <c r="J198" s="1" t="s">
        <v>53</v>
      </c>
      <c r="K198" s="1" t="s">
        <v>54</v>
      </c>
      <c r="L198" s="1">
        <v>0.6</v>
      </c>
      <c r="M198" s="1">
        <v>266</v>
      </c>
      <c r="N198" s="1">
        <v>3.97</v>
      </c>
      <c r="O198" s="1">
        <v>25</v>
      </c>
      <c r="P198" s="1">
        <v>1164</v>
      </c>
      <c r="Q198" s="1">
        <v>102.3</v>
      </c>
      <c r="R198" s="1">
        <v>102</v>
      </c>
      <c r="S198" s="1">
        <v>201</v>
      </c>
      <c r="T198" s="1">
        <v>10.1</v>
      </c>
      <c r="U198" s="1">
        <v>2</v>
      </c>
    </row>
    <row r="199" spans="1:21" x14ac:dyDescent="0.35">
      <c r="A199" s="1">
        <v>198</v>
      </c>
      <c r="B199" s="1">
        <v>2357</v>
      </c>
      <c r="C199" s="1" t="s">
        <v>52</v>
      </c>
      <c r="D199" s="1" t="s">
        <v>26</v>
      </c>
      <c r="E199" s="2">
        <v>35.797399041752222</v>
      </c>
      <c r="F199" s="2" t="str" cm="1">
        <f t="array" ref="F199">_xlfn.IFS(E199&lt;25,"Under 25",E199&lt;40,"Young Adulthood",E199&lt;60,"Middle Adulthood",E199&gt;=60,"Older Adulthood")</f>
        <v>Young Adulthood</v>
      </c>
      <c r="G199" s="1" t="s">
        <v>23</v>
      </c>
      <c r="H199" s="1" t="s">
        <v>53</v>
      </c>
      <c r="I199" s="1" t="s">
        <v>53</v>
      </c>
      <c r="J199" s="1" t="s">
        <v>50</v>
      </c>
      <c r="K199" s="1" t="s">
        <v>54</v>
      </c>
      <c r="L199" s="1">
        <v>0.7</v>
      </c>
      <c r="M199" s="1">
        <v>286</v>
      </c>
      <c r="N199" s="1">
        <v>2.9</v>
      </c>
      <c r="O199" s="1">
        <v>38</v>
      </c>
      <c r="P199" s="1">
        <v>1692</v>
      </c>
      <c r="Q199" s="1">
        <v>141.05000000000001</v>
      </c>
      <c r="R199" s="1">
        <v>90</v>
      </c>
      <c r="S199" s="1">
        <v>381</v>
      </c>
      <c r="T199" s="1">
        <v>9.6</v>
      </c>
      <c r="U199" s="1">
        <v>2</v>
      </c>
    </row>
    <row r="200" spans="1:21" x14ac:dyDescent="0.35">
      <c r="A200" s="1">
        <v>199</v>
      </c>
      <c r="B200" s="1">
        <v>1592</v>
      </c>
      <c r="C200" s="1" t="s">
        <v>52</v>
      </c>
      <c r="D200" s="1" t="s">
        <v>21</v>
      </c>
      <c r="E200" s="2">
        <v>40.717316906228611</v>
      </c>
      <c r="F200" s="2" t="str" cm="1">
        <f t="array" ref="F200">_xlfn.IFS(E200&lt;25,"Under 25",E200&lt;40,"Young Adulthood",E200&lt;60,"Middle Adulthood",E200&gt;=60,"Older Adulthood")</f>
        <v>Middle Adulthood</v>
      </c>
      <c r="G200" s="1" t="s">
        <v>23</v>
      </c>
      <c r="H200" s="1" t="s">
        <v>53</v>
      </c>
      <c r="I200" s="1" t="s">
        <v>53</v>
      </c>
      <c r="J200" s="1" t="s">
        <v>53</v>
      </c>
      <c r="K200" s="1" t="s">
        <v>54</v>
      </c>
      <c r="L200" s="1">
        <v>2.1</v>
      </c>
      <c r="M200" s="1">
        <v>392</v>
      </c>
      <c r="N200" s="1">
        <v>3.43</v>
      </c>
      <c r="O200" s="1">
        <v>52</v>
      </c>
      <c r="P200" s="1">
        <v>1395</v>
      </c>
      <c r="Q200" s="1">
        <v>184.45</v>
      </c>
      <c r="R200" s="1">
        <v>194</v>
      </c>
      <c r="S200" s="1">
        <v>328</v>
      </c>
      <c r="T200" s="1">
        <v>10.199999999999999</v>
      </c>
      <c r="U200" s="1">
        <v>3</v>
      </c>
    </row>
    <row r="201" spans="1:21" x14ac:dyDescent="0.35">
      <c r="A201" s="1">
        <v>200</v>
      </c>
      <c r="B201" s="1">
        <v>2318</v>
      </c>
      <c r="C201" s="1" t="s">
        <v>52</v>
      </c>
      <c r="D201" s="1" t="s">
        <v>26</v>
      </c>
      <c r="E201" s="2">
        <v>32.232717316906232</v>
      </c>
      <c r="F201" s="2" t="str" cm="1">
        <f t="array" ref="F201">_xlfn.IFS(E201&lt;25,"Under 25",E201&lt;40,"Young Adulthood",E201&lt;60,"Middle Adulthood",E201&gt;=60,"Older Adulthood")</f>
        <v>Young Adulthood</v>
      </c>
      <c r="G201" s="1" t="s">
        <v>23</v>
      </c>
      <c r="H201" s="1" t="s">
        <v>53</v>
      </c>
      <c r="I201" s="1" t="s">
        <v>53</v>
      </c>
      <c r="J201" s="1" t="s">
        <v>50</v>
      </c>
      <c r="K201" s="1" t="s">
        <v>54</v>
      </c>
      <c r="L201" s="1">
        <v>4.7</v>
      </c>
      <c r="M201" s="1">
        <v>236</v>
      </c>
      <c r="N201" s="1">
        <v>3.55</v>
      </c>
      <c r="O201" s="1">
        <v>112</v>
      </c>
      <c r="P201" s="1">
        <v>1391</v>
      </c>
      <c r="Q201" s="1">
        <v>137.94999999999999</v>
      </c>
      <c r="R201" s="1">
        <v>114</v>
      </c>
      <c r="S201" s="1">
        <v>332</v>
      </c>
      <c r="T201" s="1">
        <v>9.9</v>
      </c>
      <c r="U201" s="1">
        <v>3</v>
      </c>
    </row>
    <row r="202" spans="1:21" x14ac:dyDescent="0.35">
      <c r="A202" s="1">
        <v>201</v>
      </c>
      <c r="B202" s="1">
        <v>2294</v>
      </c>
      <c r="C202" s="1" t="s">
        <v>52</v>
      </c>
      <c r="D202" s="1" t="s">
        <v>26</v>
      </c>
      <c r="E202" s="2">
        <v>41.092402464065707</v>
      </c>
      <c r="F202" s="2" t="str" cm="1">
        <f t="array" ref="F202">_xlfn.IFS(E202&lt;25,"Under 25",E202&lt;40,"Young Adulthood",E202&lt;60,"Middle Adulthood",E202&gt;=60,"Older Adulthood")</f>
        <v>Middle Adulthood</v>
      </c>
      <c r="G202" s="1" t="s">
        <v>23</v>
      </c>
      <c r="H202" s="1" t="s">
        <v>53</v>
      </c>
      <c r="I202" s="1" t="s">
        <v>50</v>
      </c>
      <c r="J202" s="1" t="s">
        <v>53</v>
      </c>
      <c r="K202" s="1" t="s">
        <v>54</v>
      </c>
      <c r="L202" s="1">
        <v>0.6</v>
      </c>
      <c r="M202" s="1">
        <v>235</v>
      </c>
      <c r="N202" s="1">
        <v>3.2</v>
      </c>
      <c r="O202" s="1">
        <v>26</v>
      </c>
      <c r="P202" s="1">
        <v>1758</v>
      </c>
      <c r="Q202" s="1">
        <v>106.95</v>
      </c>
      <c r="R202" s="1">
        <v>67</v>
      </c>
      <c r="S202" s="1">
        <v>228</v>
      </c>
      <c r="T202" s="1">
        <v>10.8</v>
      </c>
      <c r="U202" s="1">
        <v>4</v>
      </c>
    </row>
    <row r="203" spans="1:21" x14ac:dyDescent="0.35">
      <c r="A203" s="1">
        <v>202</v>
      </c>
      <c r="B203" s="1">
        <v>2272</v>
      </c>
      <c r="C203" s="1" t="s">
        <v>52</v>
      </c>
      <c r="D203" s="1" t="s">
        <v>21</v>
      </c>
      <c r="E203" s="2">
        <v>61.639972621492127</v>
      </c>
      <c r="F203" s="2" t="str" cm="1">
        <f t="array" ref="F203">_xlfn.IFS(E203&lt;25,"Under 25",E203&lt;40,"Young Adulthood",E203&lt;60,"Middle Adulthood",E203&gt;=60,"Older Adulthood")</f>
        <v>Older Adulthood</v>
      </c>
      <c r="G203" s="1" t="s">
        <v>23</v>
      </c>
      <c r="H203" s="1" t="s">
        <v>53</v>
      </c>
      <c r="I203" s="1" t="s">
        <v>53</v>
      </c>
      <c r="J203" s="1" t="s">
        <v>53</v>
      </c>
      <c r="K203" s="1" t="s">
        <v>54</v>
      </c>
      <c r="L203" s="1">
        <v>0.5</v>
      </c>
      <c r="M203" s="1">
        <v>223</v>
      </c>
      <c r="N203" s="1">
        <v>3.8</v>
      </c>
      <c r="O203" s="1">
        <v>15</v>
      </c>
      <c r="P203" s="1">
        <v>1044</v>
      </c>
      <c r="Q203" s="1">
        <v>80.599999999999994</v>
      </c>
      <c r="R203" s="1">
        <v>89</v>
      </c>
      <c r="S203" s="1">
        <v>514</v>
      </c>
      <c r="T203" s="1">
        <v>10</v>
      </c>
      <c r="U203" s="1">
        <v>2</v>
      </c>
    </row>
    <row r="204" spans="1:21" x14ac:dyDescent="0.35">
      <c r="A204" s="1">
        <v>203</v>
      </c>
      <c r="B204" s="1">
        <v>2221</v>
      </c>
      <c r="C204" s="1" t="s">
        <v>52</v>
      </c>
      <c r="D204" s="1" t="s">
        <v>26</v>
      </c>
      <c r="E204" s="2">
        <v>37.056810403832991</v>
      </c>
      <c r="F204" s="2" t="str" cm="1">
        <f t="array" ref="F204">_xlfn.IFS(E204&lt;25,"Under 25",E204&lt;40,"Young Adulthood",E204&lt;60,"Middle Adulthood",E204&gt;=60,"Older Adulthood")</f>
        <v>Young Adulthood</v>
      </c>
      <c r="G204" s="1" t="s">
        <v>23</v>
      </c>
      <c r="H204" s="1" t="s">
        <v>53</v>
      </c>
      <c r="I204" s="1" t="s">
        <v>50</v>
      </c>
      <c r="J204" s="1" t="s">
        <v>53</v>
      </c>
      <c r="K204" s="1" t="s">
        <v>54</v>
      </c>
      <c r="L204" s="1">
        <v>0.5</v>
      </c>
      <c r="M204" s="1">
        <v>149</v>
      </c>
      <c r="N204" s="1">
        <v>4.04</v>
      </c>
      <c r="O204" s="1">
        <v>227</v>
      </c>
      <c r="P204" s="1">
        <v>598</v>
      </c>
      <c r="Q204" s="1">
        <v>52.7</v>
      </c>
      <c r="R204" s="1">
        <v>57</v>
      </c>
      <c r="S204" s="1">
        <v>166</v>
      </c>
      <c r="T204" s="1">
        <v>9.9</v>
      </c>
      <c r="U204" s="1">
        <v>2</v>
      </c>
    </row>
    <row r="205" spans="1:21" x14ac:dyDescent="0.35">
      <c r="A205" s="1">
        <v>204</v>
      </c>
      <c r="B205" s="1">
        <v>2090</v>
      </c>
      <c r="C205" s="1" t="s">
        <v>49</v>
      </c>
      <c r="D205" s="1" t="s">
        <v>26</v>
      </c>
      <c r="E205" s="2">
        <v>62.579055441478438</v>
      </c>
      <c r="F205" s="2" t="str" cm="1">
        <f t="array" ref="F205">_xlfn.IFS(E205&lt;25,"Under 25",E205&lt;40,"Young Adulthood",E205&lt;60,"Middle Adulthood",E205&gt;=60,"Older Adulthood")</f>
        <v>Older Adulthood</v>
      </c>
      <c r="G205" s="1" t="s">
        <v>23</v>
      </c>
      <c r="H205" s="1" t="s">
        <v>53</v>
      </c>
      <c r="I205" s="1" t="s">
        <v>53</v>
      </c>
      <c r="J205" s="1" t="s">
        <v>53</v>
      </c>
      <c r="K205" s="1" t="s">
        <v>54</v>
      </c>
      <c r="L205" s="1">
        <v>0.7</v>
      </c>
      <c r="M205" s="1">
        <v>255</v>
      </c>
      <c r="N205" s="1">
        <v>3.74</v>
      </c>
      <c r="O205" s="1">
        <v>23</v>
      </c>
      <c r="P205" s="1">
        <v>1024</v>
      </c>
      <c r="Q205" s="1">
        <v>77.5</v>
      </c>
      <c r="R205" s="1">
        <v>58</v>
      </c>
      <c r="S205" s="1">
        <v>281</v>
      </c>
      <c r="T205" s="1">
        <v>10.199999999999999</v>
      </c>
      <c r="U205" s="1">
        <v>3</v>
      </c>
    </row>
    <row r="206" spans="1:21" x14ac:dyDescent="0.35">
      <c r="A206" s="1">
        <v>205</v>
      </c>
      <c r="B206" s="1">
        <v>2081</v>
      </c>
      <c r="C206" s="1" t="s">
        <v>49</v>
      </c>
      <c r="D206" s="1" t="s">
        <v>21</v>
      </c>
      <c r="E206" s="2">
        <v>48.977412731006162</v>
      </c>
      <c r="F206" s="2" t="str" cm="1">
        <f t="array" ref="F206">_xlfn.IFS(E206&lt;25,"Under 25",E206&lt;40,"Young Adulthood",E206&lt;60,"Middle Adulthood",E206&gt;=60,"Older Adulthood")</f>
        <v>Middle Adulthood</v>
      </c>
      <c r="G206" s="1" t="s">
        <v>23</v>
      </c>
      <c r="H206" s="1" t="s">
        <v>50</v>
      </c>
      <c r="I206" s="1" t="s">
        <v>53</v>
      </c>
      <c r="J206" s="1" t="s">
        <v>53</v>
      </c>
      <c r="K206" s="1" t="s">
        <v>54</v>
      </c>
      <c r="L206" s="1">
        <v>2.5</v>
      </c>
      <c r="M206" s="1">
        <v>382</v>
      </c>
      <c r="N206" s="1">
        <v>3.55</v>
      </c>
      <c r="O206" s="1">
        <v>108</v>
      </c>
      <c r="P206" s="1">
        <v>1516</v>
      </c>
      <c r="Q206" s="1">
        <v>238.7</v>
      </c>
      <c r="R206" s="1">
        <v>108</v>
      </c>
      <c r="S206" s="1">
        <v>126</v>
      </c>
      <c r="T206" s="1">
        <v>10.3</v>
      </c>
      <c r="U206" s="1">
        <v>3</v>
      </c>
    </row>
    <row r="207" spans="1:21" x14ac:dyDescent="0.35">
      <c r="A207" s="1">
        <v>206</v>
      </c>
      <c r="B207" s="1">
        <v>2255</v>
      </c>
      <c r="C207" s="1" t="s">
        <v>52</v>
      </c>
      <c r="D207" s="1" t="s">
        <v>21</v>
      </c>
      <c r="E207" s="2">
        <v>61.990417522245039</v>
      </c>
      <c r="F207" s="2" t="str" cm="1">
        <f t="array" ref="F207">_xlfn.IFS(E207&lt;25,"Under 25",E207&lt;40,"Young Adulthood",E207&lt;60,"Middle Adulthood",E207&gt;=60,"Older Adulthood")</f>
        <v>Older Adulthood</v>
      </c>
      <c r="G207" s="1" t="s">
        <v>23</v>
      </c>
      <c r="H207" s="1" t="s">
        <v>53</v>
      </c>
      <c r="I207" s="1" t="s">
        <v>53</v>
      </c>
      <c r="J207" s="1" t="s">
        <v>53</v>
      </c>
      <c r="K207" s="1" t="s">
        <v>54</v>
      </c>
      <c r="L207" s="1">
        <v>0.6</v>
      </c>
      <c r="M207" s="1">
        <v>213</v>
      </c>
      <c r="N207" s="1">
        <v>4.07</v>
      </c>
      <c r="O207" s="1">
        <v>12</v>
      </c>
      <c r="P207" s="1">
        <v>5300</v>
      </c>
      <c r="Q207" s="1">
        <v>57.35</v>
      </c>
      <c r="R207" s="1">
        <v>68</v>
      </c>
      <c r="S207" s="1">
        <v>240</v>
      </c>
      <c r="T207" s="1">
        <v>11</v>
      </c>
      <c r="U207" s="1">
        <v>1</v>
      </c>
    </row>
    <row r="208" spans="1:21" x14ac:dyDescent="0.35">
      <c r="A208" s="1">
        <v>207</v>
      </c>
      <c r="B208" s="1">
        <v>2171</v>
      </c>
      <c r="C208" s="1" t="s">
        <v>52</v>
      </c>
      <c r="D208" s="1" t="s">
        <v>21</v>
      </c>
      <c r="E208" s="2">
        <v>72.772073921971256</v>
      </c>
      <c r="F208" s="2" t="str" cm="1">
        <f t="array" ref="F208">_xlfn.IFS(E208&lt;25,"Under 25",E208&lt;40,"Young Adulthood",E208&lt;60,"Middle Adulthood",E208&gt;=60,"Older Adulthood")</f>
        <v>Older Adulthood</v>
      </c>
      <c r="G208" s="1" t="s">
        <v>23</v>
      </c>
      <c r="H208" s="1" t="s">
        <v>53</v>
      </c>
      <c r="I208" s="1" t="s">
        <v>53</v>
      </c>
      <c r="J208" s="1" t="s">
        <v>53</v>
      </c>
      <c r="K208" s="1" t="s">
        <v>55</v>
      </c>
      <c r="L208" s="1">
        <v>0.6</v>
      </c>
      <c r="M208" s="1">
        <v>309.5</v>
      </c>
      <c r="N208" s="1">
        <v>3.33</v>
      </c>
      <c r="O208" s="1">
        <v>14</v>
      </c>
      <c r="P208" s="1">
        <v>733</v>
      </c>
      <c r="Q208" s="1">
        <v>85.25</v>
      </c>
      <c r="R208" s="1">
        <v>108</v>
      </c>
      <c r="S208" s="1">
        <v>259</v>
      </c>
      <c r="T208" s="1">
        <v>10.1</v>
      </c>
      <c r="U208" s="1">
        <v>4</v>
      </c>
    </row>
    <row r="209" spans="1:21" x14ac:dyDescent="0.35">
      <c r="A209" s="1">
        <v>208</v>
      </c>
      <c r="B209" s="1">
        <v>904</v>
      </c>
      <c r="C209" s="1" t="s">
        <v>49</v>
      </c>
      <c r="D209" s="1" t="s">
        <v>21</v>
      </c>
      <c r="E209" s="2">
        <v>61.295003422313485</v>
      </c>
      <c r="F209" s="2" t="str" cm="1">
        <f t="array" ref="F209">_xlfn.IFS(E209&lt;25,"Under 25",E209&lt;40,"Young Adulthood",E209&lt;60,"Middle Adulthood",E209&gt;=60,"Older Adulthood")</f>
        <v>Older Adulthood</v>
      </c>
      <c r="G209" s="1" t="s">
        <v>23</v>
      </c>
      <c r="H209" s="1" t="s">
        <v>53</v>
      </c>
      <c r="I209" s="1" t="s">
        <v>50</v>
      </c>
      <c r="J209" s="1" t="s">
        <v>53</v>
      </c>
      <c r="K209" s="1" t="s">
        <v>54</v>
      </c>
      <c r="L209" s="1">
        <v>3.9</v>
      </c>
      <c r="M209" s="1">
        <v>396</v>
      </c>
      <c r="N209" s="1">
        <v>3.2</v>
      </c>
      <c r="O209" s="1">
        <v>58</v>
      </c>
      <c r="P209" s="1">
        <v>1440</v>
      </c>
      <c r="Q209" s="1">
        <v>153.44999999999999</v>
      </c>
      <c r="R209" s="1">
        <v>131</v>
      </c>
      <c r="S209" s="1">
        <v>156</v>
      </c>
      <c r="T209" s="1">
        <v>10</v>
      </c>
      <c r="U209" s="1">
        <v>4</v>
      </c>
    </row>
    <row r="210" spans="1:21" x14ac:dyDescent="0.35">
      <c r="A210" s="1">
        <v>209</v>
      </c>
      <c r="B210" s="1">
        <v>2216</v>
      </c>
      <c r="C210" s="1" t="s">
        <v>52</v>
      </c>
      <c r="D210" s="1" t="s">
        <v>26</v>
      </c>
      <c r="E210" s="2">
        <v>52.624229979466122</v>
      </c>
      <c r="F210" s="2" t="str" cm="1">
        <f t="array" ref="F210">_xlfn.IFS(E210&lt;25,"Under 25",E210&lt;40,"Young Adulthood",E210&lt;60,"Middle Adulthood",E210&gt;=60,"Older Adulthood")</f>
        <v>Middle Adulthood</v>
      </c>
      <c r="G210" s="1" t="s">
        <v>23</v>
      </c>
      <c r="H210" s="1" t="s">
        <v>53</v>
      </c>
      <c r="I210" s="1" t="s">
        <v>50</v>
      </c>
      <c r="J210" s="1" t="s">
        <v>50</v>
      </c>
      <c r="K210" s="1" t="s">
        <v>54</v>
      </c>
      <c r="L210" s="1">
        <v>0.7</v>
      </c>
      <c r="M210" s="1">
        <v>252</v>
      </c>
      <c r="N210" s="1">
        <v>4.01</v>
      </c>
      <c r="O210" s="1">
        <v>11</v>
      </c>
      <c r="P210" s="1">
        <v>1210</v>
      </c>
      <c r="Q210" s="1">
        <v>72.849999999999994</v>
      </c>
      <c r="R210" s="1">
        <v>58</v>
      </c>
      <c r="S210" s="1">
        <v>309</v>
      </c>
      <c r="T210" s="1">
        <v>9.5</v>
      </c>
      <c r="U210" s="1">
        <v>2</v>
      </c>
    </row>
    <row r="211" spans="1:21" x14ac:dyDescent="0.35">
      <c r="A211" s="1">
        <v>210</v>
      </c>
      <c r="B211" s="1">
        <v>2224</v>
      </c>
      <c r="C211" s="1" t="s">
        <v>52</v>
      </c>
      <c r="D211" s="1" t="s">
        <v>26</v>
      </c>
      <c r="E211" s="2">
        <v>49.763175906913077</v>
      </c>
      <c r="F211" s="2" t="str" cm="1">
        <f t="array" ref="F211">_xlfn.IFS(E211&lt;25,"Under 25",E211&lt;40,"Young Adulthood",E211&lt;60,"Middle Adulthood",E211&gt;=60,"Older Adulthood")</f>
        <v>Middle Adulthood</v>
      </c>
      <c r="G211" s="1" t="s">
        <v>25</v>
      </c>
      <c r="H211" s="1" t="s">
        <v>53</v>
      </c>
      <c r="I211" s="1" t="s">
        <v>50</v>
      </c>
      <c r="J211" s="1" t="s">
        <v>53</v>
      </c>
      <c r="K211" s="1" t="s">
        <v>54</v>
      </c>
      <c r="L211" s="1">
        <v>0.9</v>
      </c>
      <c r="M211" s="1">
        <v>346</v>
      </c>
      <c r="N211" s="1">
        <v>3.37</v>
      </c>
      <c r="O211" s="1">
        <v>81</v>
      </c>
      <c r="P211" s="1">
        <v>1098</v>
      </c>
      <c r="Q211" s="1">
        <v>122.45</v>
      </c>
      <c r="R211" s="1">
        <v>90</v>
      </c>
      <c r="S211" s="1">
        <v>298</v>
      </c>
      <c r="T211" s="1">
        <v>10</v>
      </c>
      <c r="U211" s="1">
        <v>2</v>
      </c>
    </row>
    <row r="212" spans="1:21" x14ac:dyDescent="0.35">
      <c r="A212" s="1">
        <v>211</v>
      </c>
      <c r="B212" s="1">
        <v>2195</v>
      </c>
      <c r="C212" s="1" t="s">
        <v>52</v>
      </c>
      <c r="D212" s="1" t="s">
        <v>26</v>
      </c>
      <c r="E212" s="2">
        <v>52.91444216290212</v>
      </c>
      <c r="F212" s="2" t="str" cm="1">
        <f t="array" ref="F212">_xlfn.IFS(E212&lt;25,"Under 25",E212&lt;40,"Young Adulthood",E212&lt;60,"Middle Adulthood",E212&gt;=60,"Older Adulthood")</f>
        <v>Middle Adulthood</v>
      </c>
      <c r="G212" s="1" t="s">
        <v>23</v>
      </c>
      <c r="H212" s="1" t="s">
        <v>53</v>
      </c>
      <c r="I212" s="1" t="s">
        <v>53</v>
      </c>
      <c r="J212" s="1" t="s">
        <v>53</v>
      </c>
      <c r="K212" s="1" t="s">
        <v>54</v>
      </c>
      <c r="L212" s="1">
        <v>1.3</v>
      </c>
      <c r="M212" s="1">
        <v>309.5</v>
      </c>
      <c r="N212" s="1">
        <v>3.76</v>
      </c>
      <c r="O212" s="1">
        <v>27</v>
      </c>
      <c r="P212" s="1">
        <v>1282</v>
      </c>
      <c r="Q212" s="1">
        <v>100.75</v>
      </c>
      <c r="R212" s="1">
        <v>108</v>
      </c>
      <c r="S212" s="1">
        <v>114</v>
      </c>
      <c r="T212" s="1">
        <v>10.3</v>
      </c>
      <c r="U212" s="1">
        <v>3</v>
      </c>
    </row>
    <row r="213" spans="1:21" x14ac:dyDescent="0.35">
      <c r="A213" s="1">
        <v>212</v>
      </c>
      <c r="B213" s="1">
        <v>2176</v>
      </c>
      <c r="C213" s="1" t="s">
        <v>52</v>
      </c>
      <c r="D213" s="1" t="s">
        <v>26</v>
      </c>
      <c r="E213" s="2">
        <v>47.263518138261468</v>
      </c>
      <c r="F213" s="2" t="str" cm="1">
        <f t="array" ref="F213">_xlfn.IFS(E213&lt;25,"Under 25",E213&lt;40,"Young Adulthood",E213&lt;60,"Middle Adulthood",E213&gt;=60,"Older Adulthood")</f>
        <v>Middle Adulthood</v>
      </c>
      <c r="G213" s="1" t="s">
        <v>23</v>
      </c>
      <c r="H213" s="1" t="s">
        <v>53</v>
      </c>
      <c r="I213" s="1" t="s">
        <v>53</v>
      </c>
      <c r="J213" s="1" t="s">
        <v>53</v>
      </c>
      <c r="K213" s="1" t="s">
        <v>54</v>
      </c>
      <c r="L213" s="1">
        <v>1.2</v>
      </c>
      <c r="M213" s="1">
        <v>232</v>
      </c>
      <c r="N213" s="1">
        <v>3.98</v>
      </c>
      <c r="O213" s="1">
        <v>11</v>
      </c>
      <c r="P213" s="1">
        <v>1074</v>
      </c>
      <c r="Q213" s="1">
        <v>100.75</v>
      </c>
      <c r="R213" s="1">
        <v>99</v>
      </c>
      <c r="S213" s="1">
        <v>223</v>
      </c>
      <c r="T213" s="1">
        <v>9.9</v>
      </c>
      <c r="U213" s="1">
        <v>3</v>
      </c>
    </row>
    <row r="214" spans="1:21" x14ac:dyDescent="0.35">
      <c r="A214" s="1">
        <v>213</v>
      </c>
      <c r="B214" s="1">
        <v>2178</v>
      </c>
      <c r="C214" s="1" t="s">
        <v>52</v>
      </c>
      <c r="D214" s="1" t="s">
        <v>21</v>
      </c>
      <c r="E214" s="2">
        <v>50.203969883641342</v>
      </c>
      <c r="F214" s="2" t="str" cm="1">
        <f t="array" ref="F214">_xlfn.IFS(E214&lt;25,"Under 25",E214&lt;40,"Young Adulthood",E214&lt;60,"Middle Adulthood",E214&gt;=60,"Older Adulthood")</f>
        <v>Middle Adulthood</v>
      </c>
      <c r="G214" s="1" t="s">
        <v>23</v>
      </c>
      <c r="H214" s="1" t="s">
        <v>53</v>
      </c>
      <c r="I214" s="1" t="s">
        <v>53</v>
      </c>
      <c r="J214" s="1" t="s">
        <v>50</v>
      </c>
      <c r="K214" s="1" t="s">
        <v>54</v>
      </c>
      <c r="L214" s="1">
        <v>0.5</v>
      </c>
      <c r="M214" s="1">
        <v>400</v>
      </c>
      <c r="N214" s="1">
        <v>3.4</v>
      </c>
      <c r="O214" s="1">
        <v>9</v>
      </c>
      <c r="P214" s="1">
        <v>1134</v>
      </c>
      <c r="Q214" s="1">
        <v>96.1</v>
      </c>
      <c r="R214" s="1">
        <v>55</v>
      </c>
      <c r="S214" s="1">
        <v>356</v>
      </c>
      <c r="T214" s="1">
        <v>10.199999999999999</v>
      </c>
      <c r="U214" s="1">
        <v>3</v>
      </c>
    </row>
    <row r="215" spans="1:21" x14ac:dyDescent="0.35">
      <c r="A215" s="1">
        <v>214</v>
      </c>
      <c r="B215" s="1">
        <v>1786</v>
      </c>
      <c r="C215" s="1" t="s">
        <v>49</v>
      </c>
      <c r="D215" s="1" t="s">
        <v>26</v>
      </c>
      <c r="E215" s="2">
        <v>69.347022587268995</v>
      </c>
      <c r="F215" s="2" t="str" cm="1">
        <f t="array" ref="F215">_xlfn.IFS(E215&lt;25,"Under 25",E215&lt;40,"Young Adulthood",E215&lt;60,"Middle Adulthood",E215&gt;=60,"Older Adulthood")</f>
        <v>Older Adulthood</v>
      </c>
      <c r="G215" s="1" t="s">
        <v>23</v>
      </c>
      <c r="H215" s="1" t="s">
        <v>53</v>
      </c>
      <c r="I215" s="1" t="s">
        <v>50</v>
      </c>
      <c r="J215" s="1" t="s">
        <v>53</v>
      </c>
      <c r="K215" s="1" t="s">
        <v>54</v>
      </c>
      <c r="L215" s="1">
        <v>0.9</v>
      </c>
      <c r="M215" s="1">
        <v>404</v>
      </c>
      <c r="N215" s="1">
        <v>3.43</v>
      </c>
      <c r="O215" s="1">
        <v>34</v>
      </c>
      <c r="P215" s="1">
        <v>1866</v>
      </c>
      <c r="Q215" s="1">
        <v>79.05</v>
      </c>
      <c r="R215" s="1">
        <v>224</v>
      </c>
      <c r="S215" s="1">
        <v>236</v>
      </c>
      <c r="T215" s="1">
        <v>9.9</v>
      </c>
      <c r="U215" s="1">
        <v>3</v>
      </c>
    </row>
    <row r="216" spans="1:21" x14ac:dyDescent="0.35">
      <c r="A216" s="1">
        <v>215</v>
      </c>
      <c r="B216" s="1">
        <v>1080</v>
      </c>
      <c r="C216" s="1" t="s">
        <v>49</v>
      </c>
      <c r="D216" s="1" t="s">
        <v>26</v>
      </c>
      <c r="E216" s="2">
        <v>41.169062286105408</v>
      </c>
      <c r="F216" s="2" t="str" cm="1">
        <f t="array" ref="F216">_xlfn.IFS(E216&lt;25,"Under 25",E216&lt;40,"Young Adulthood",E216&lt;60,"Middle Adulthood",E216&gt;=60,"Older Adulthood")</f>
        <v>Middle Adulthood</v>
      </c>
      <c r="G216" s="1" t="s">
        <v>23</v>
      </c>
      <c r="H216" s="1" t="s">
        <v>53</v>
      </c>
      <c r="I216" s="1" t="s">
        <v>53</v>
      </c>
      <c r="J216" s="1" t="s">
        <v>53</v>
      </c>
      <c r="K216" s="1" t="s">
        <v>54</v>
      </c>
      <c r="L216" s="1">
        <v>5.9</v>
      </c>
      <c r="M216" s="1">
        <v>1276</v>
      </c>
      <c r="N216" s="1">
        <v>3.85</v>
      </c>
      <c r="O216" s="1">
        <v>141</v>
      </c>
      <c r="P216" s="1">
        <v>1204</v>
      </c>
      <c r="Q216" s="1">
        <v>203.05</v>
      </c>
      <c r="R216" s="1">
        <v>157</v>
      </c>
      <c r="S216" s="1">
        <v>216</v>
      </c>
      <c r="T216" s="1">
        <v>10.7</v>
      </c>
      <c r="U216" s="1">
        <v>3</v>
      </c>
    </row>
    <row r="217" spans="1:21" x14ac:dyDescent="0.35">
      <c r="A217" s="1">
        <v>216</v>
      </c>
      <c r="B217" s="1">
        <v>2168</v>
      </c>
      <c r="C217" s="1" t="s">
        <v>52</v>
      </c>
      <c r="D217" s="1" t="s">
        <v>21</v>
      </c>
      <c r="E217" s="2">
        <v>59.16495550992471</v>
      </c>
      <c r="F217" s="2" t="str" cm="1">
        <f t="array" ref="F217">_xlfn.IFS(E217&lt;25,"Under 25",E217&lt;40,"Young Adulthood",E217&lt;60,"Middle Adulthood",E217&gt;=60,"Older Adulthood")</f>
        <v>Middle Adulthood</v>
      </c>
      <c r="G217" s="1" t="s">
        <v>23</v>
      </c>
      <c r="H217" s="1" t="s">
        <v>53</v>
      </c>
      <c r="I217" s="1" t="s">
        <v>53</v>
      </c>
      <c r="J217" s="1" t="s">
        <v>53</v>
      </c>
      <c r="K217" s="1" t="s">
        <v>54</v>
      </c>
      <c r="L217" s="1">
        <v>0.5</v>
      </c>
      <c r="M217" s="1">
        <v>309.5</v>
      </c>
      <c r="N217" s="1">
        <v>3.68</v>
      </c>
      <c r="O217" s="1">
        <v>20</v>
      </c>
      <c r="P217" s="1">
        <v>856</v>
      </c>
      <c r="Q217" s="1">
        <v>55.8</v>
      </c>
      <c r="R217" s="1">
        <v>108</v>
      </c>
      <c r="S217" s="1">
        <v>146</v>
      </c>
      <c r="T217" s="1">
        <v>10.4</v>
      </c>
      <c r="U217" s="1">
        <v>3</v>
      </c>
    </row>
    <row r="218" spans="1:21" x14ac:dyDescent="0.35">
      <c r="A218" s="1">
        <v>217</v>
      </c>
      <c r="B218" s="1">
        <v>790</v>
      </c>
      <c r="C218" s="1" t="s">
        <v>49</v>
      </c>
      <c r="D218" s="1" t="s">
        <v>26</v>
      </c>
      <c r="E218" s="2">
        <v>36.079397672826829</v>
      </c>
      <c r="F218" s="2" t="str" cm="1">
        <f t="array" ref="F218">_xlfn.IFS(E218&lt;25,"Under 25",E218&lt;40,"Young Adulthood",E218&lt;60,"Middle Adulthood",E218&gt;=60,"Older Adulthood")</f>
        <v>Young Adulthood</v>
      </c>
      <c r="G218" s="1" t="s">
        <v>23</v>
      </c>
      <c r="H218" s="1" t="s">
        <v>53</v>
      </c>
      <c r="I218" s="1" t="s">
        <v>50</v>
      </c>
      <c r="J218" s="1" t="s">
        <v>53</v>
      </c>
      <c r="K218" s="1" t="s">
        <v>54</v>
      </c>
      <c r="L218" s="1">
        <v>11.4</v>
      </c>
      <c r="M218" s="1">
        <v>608</v>
      </c>
      <c r="N218" s="1">
        <v>3.31</v>
      </c>
      <c r="O218" s="1">
        <v>65</v>
      </c>
      <c r="P218" s="1">
        <v>1790</v>
      </c>
      <c r="Q218" s="1">
        <v>151.9</v>
      </c>
      <c r="R218" s="1">
        <v>210</v>
      </c>
      <c r="S218" s="1">
        <v>298</v>
      </c>
      <c r="T218" s="1">
        <v>10.8</v>
      </c>
      <c r="U218" s="1">
        <v>4</v>
      </c>
    </row>
    <row r="219" spans="1:21" x14ac:dyDescent="0.35">
      <c r="A219" s="1">
        <v>218</v>
      </c>
      <c r="B219" s="1">
        <v>2170</v>
      </c>
      <c r="C219" s="1" t="s">
        <v>52</v>
      </c>
      <c r="D219" s="1" t="s">
        <v>21</v>
      </c>
      <c r="E219" s="2">
        <v>34.595482546201232</v>
      </c>
      <c r="F219" s="2" t="str" cm="1">
        <f t="array" ref="F219">_xlfn.IFS(E219&lt;25,"Under 25",E219&lt;40,"Young Adulthood",E219&lt;60,"Middle Adulthood",E219&gt;=60,"Older Adulthood")</f>
        <v>Young Adulthood</v>
      </c>
      <c r="G219" s="1" t="s">
        <v>23</v>
      </c>
      <c r="H219" s="1" t="s">
        <v>53</v>
      </c>
      <c r="I219" s="1" t="s">
        <v>53</v>
      </c>
      <c r="J219" s="1" t="s">
        <v>53</v>
      </c>
      <c r="K219" s="1" t="s">
        <v>54</v>
      </c>
      <c r="L219" s="1">
        <v>0.5</v>
      </c>
      <c r="M219" s="1">
        <v>309.5</v>
      </c>
      <c r="N219" s="1">
        <v>3.89</v>
      </c>
      <c r="O219" s="1">
        <v>29</v>
      </c>
      <c r="P219" s="1">
        <v>897</v>
      </c>
      <c r="Q219" s="1">
        <v>66.650000000000006</v>
      </c>
      <c r="R219" s="1">
        <v>108</v>
      </c>
      <c r="S219" s="1">
        <v>423</v>
      </c>
      <c r="T219" s="1">
        <v>10.1</v>
      </c>
      <c r="U219" s="1">
        <v>1</v>
      </c>
    </row>
    <row r="220" spans="1:21" x14ac:dyDescent="0.35">
      <c r="A220" s="1">
        <v>219</v>
      </c>
      <c r="B220" s="1">
        <v>2157</v>
      </c>
      <c r="C220" s="1" t="s">
        <v>52</v>
      </c>
      <c r="D220" s="1" t="s">
        <v>26</v>
      </c>
      <c r="E220" s="2">
        <v>42.713210130047912</v>
      </c>
      <c r="F220" s="2" t="str" cm="1">
        <f t="array" ref="F220">_xlfn.IFS(E220&lt;25,"Under 25",E220&lt;40,"Young Adulthood",E220&lt;60,"Middle Adulthood",E220&gt;=60,"Older Adulthood")</f>
        <v>Middle Adulthood</v>
      </c>
      <c r="G220" s="1" t="s">
        <v>23</v>
      </c>
      <c r="H220" s="1" t="s">
        <v>53</v>
      </c>
      <c r="I220" s="1" t="s">
        <v>53</v>
      </c>
      <c r="J220" s="1" t="s">
        <v>53</v>
      </c>
      <c r="K220" s="1" t="s">
        <v>54</v>
      </c>
      <c r="L220" s="1">
        <v>1.6</v>
      </c>
      <c r="M220" s="1">
        <v>215</v>
      </c>
      <c r="N220" s="1">
        <v>4.17</v>
      </c>
      <c r="O220" s="1">
        <v>67</v>
      </c>
      <c r="P220" s="1">
        <v>936</v>
      </c>
      <c r="Q220" s="1">
        <v>134.85</v>
      </c>
      <c r="R220" s="1">
        <v>85</v>
      </c>
      <c r="S220" s="1">
        <v>176</v>
      </c>
      <c r="T220" s="1">
        <v>9.6</v>
      </c>
      <c r="U220" s="1">
        <v>3</v>
      </c>
    </row>
    <row r="221" spans="1:21" x14ac:dyDescent="0.35">
      <c r="A221" s="1">
        <v>220</v>
      </c>
      <c r="B221" s="1">
        <v>1235</v>
      </c>
      <c r="C221" s="1" t="s">
        <v>49</v>
      </c>
      <c r="D221" s="1" t="s">
        <v>21</v>
      </c>
      <c r="E221" s="2">
        <v>63.630390143737166</v>
      </c>
      <c r="F221" s="2" t="str" cm="1">
        <f t="array" ref="F221">_xlfn.IFS(E221&lt;25,"Under 25",E221&lt;40,"Young Adulthood",E221&lt;60,"Middle Adulthood",E221&gt;=60,"Older Adulthood")</f>
        <v>Older Adulthood</v>
      </c>
      <c r="G221" s="1" t="s">
        <v>23</v>
      </c>
      <c r="H221" s="1" t="s">
        <v>53</v>
      </c>
      <c r="I221" s="1" t="s">
        <v>53</v>
      </c>
      <c r="J221" s="1" t="s">
        <v>50</v>
      </c>
      <c r="K221" s="1" t="s">
        <v>54</v>
      </c>
      <c r="L221" s="1">
        <v>3.8</v>
      </c>
      <c r="M221" s="1">
        <v>426</v>
      </c>
      <c r="N221" s="1">
        <v>3.22</v>
      </c>
      <c r="O221" s="1">
        <v>96</v>
      </c>
      <c r="P221" s="1">
        <v>2716</v>
      </c>
      <c r="Q221" s="1">
        <v>210.8</v>
      </c>
      <c r="R221" s="1">
        <v>113</v>
      </c>
      <c r="S221" s="1">
        <v>228</v>
      </c>
      <c r="T221" s="1">
        <v>10.6</v>
      </c>
      <c r="U221" s="1">
        <v>2</v>
      </c>
    </row>
    <row r="222" spans="1:21" x14ac:dyDescent="0.35">
      <c r="A222" s="1">
        <v>221</v>
      </c>
      <c r="B222" s="1">
        <v>2050</v>
      </c>
      <c r="C222" s="1" t="s">
        <v>52</v>
      </c>
      <c r="D222" s="1" t="s">
        <v>26</v>
      </c>
      <c r="E222" s="2">
        <v>56.629705681040384</v>
      </c>
      <c r="F222" s="2" t="str" cm="1">
        <f t="array" ref="F222">_xlfn.IFS(E222&lt;25,"Under 25",E222&lt;40,"Young Adulthood",E222&lt;60,"Middle Adulthood",E222&gt;=60,"Older Adulthood")</f>
        <v>Middle Adulthood</v>
      </c>
      <c r="G222" s="1" t="s">
        <v>23</v>
      </c>
      <c r="H222" s="1" t="s">
        <v>53</v>
      </c>
      <c r="I222" s="1" t="s">
        <v>50</v>
      </c>
      <c r="J222" s="1" t="s">
        <v>53</v>
      </c>
      <c r="K222" s="1" t="s">
        <v>54</v>
      </c>
      <c r="L222" s="1">
        <v>0.9</v>
      </c>
      <c r="M222" s="1">
        <v>360</v>
      </c>
      <c r="N222" s="1">
        <v>3.65</v>
      </c>
      <c r="O222" s="1">
        <v>72</v>
      </c>
      <c r="P222" s="1">
        <v>3186</v>
      </c>
      <c r="Q222" s="1">
        <v>94.55</v>
      </c>
      <c r="R222" s="1">
        <v>154</v>
      </c>
      <c r="S222" s="1">
        <v>269</v>
      </c>
      <c r="T222" s="1">
        <v>9.6999999999999993</v>
      </c>
      <c r="U222" s="1">
        <v>4</v>
      </c>
    </row>
    <row r="223" spans="1:21" x14ac:dyDescent="0.35">
      <c r="A223" s="1">
        <v>222</v>
      </c>
      <c r="B223" s="1">
        <v>597</v>
      </c>
      <c r="C223" s="1" t="s">
        <v>49</v>
      </c>
      <c r="D223" s="1" t="s">
        <v>26</v>
      </c>
      <c r="E223" s="2">
        <v>46.264202600958249</v>
      </c>
      <c r="F223" s="2" t="str" cm="1">
        <f t="array" ref="F223">_xlfn.IFS(E223&lt;25,"Under 25",E223&lt;40,"Young Adulthood",E223&lt;60,"Middle Adulthood",E223&gt;=60,"Older Adulthood")</f>
        <v>Middle Adulthood</v>
      </c>
      <c r="G223" s="1" t="s">
        <v>23</v>
      </c>
      <c r="H223" s="1" t="s">
        <v>53</v>
      </c>
      <c r="I223" s="1" t="s">
        <v>50</v>
      </c>
      <c r="J223" s="1" t="s">
        <v>53</v>
      </c>
      <c r="K223" s="1" t="s">
        <v>54</v>
      </c>
      <c r="L223" s="1">
        <v>4.5</v>
      </c>
      <c r="M223" s="1">
        <v>372</v>
      </c>
      <c r="N223" s="1">
        <v>3.38</v>
      </c>
      <c r="O223" s="1">
        <v>227</v>
      </c>
      <c r="P223" s="1">
        <v>2310</v>
      </c>
      <c r="Q223" s="1">
        <v>167.4</v>
      </c>
      <c r="R223" s="1">
        <v>135</v>
      </c>
      <c r="S223" s="1">
        <v>240</v>
      </c>
      <c r="T223" s="1">
        <v>12.4</v>
      </c>
      <c r="U223" s="1">
        <v>3</v>
      </c>
    </row>
    <row r="224" spans="1:21" x14ac:dyDescent="0.35">
      <c r="A224" s="1">
        <v>223</v>
      </c>
      <c r="B224" s="1">
        <v>334</v>
      </c>
      <c r="C224" s="1" t="s">
        <v>49</v>
      </c>
      <c r="D224" s="1" t="s">
        <v>21</v>
      </c>
      <c r="E224" s="2">
        <v>61.242984257357975</v>
      </c>
      <c r="F224" s="2" t="str" cm="1">
        <f t="array" ref="F224">_xlfn.IFS(E224&lt;25,"Under 25",E224&lt;40,"Young Adulthood",E224&lt;60,"Middle Adulthood",E224&gt;=60,"Older Adulthood")</f>
        <v>Older Adulthood</v>
      </c>
      <c r="G224" s="1" t="s">
        <v>23</v>
      </c>
      <c r="H224" s="1" t="s">
        <v>50</v>
      </c>
      <c r="I224" s="1" t="s">
        <v>50</v>
      </c>
      <c r="J224" s="1" t="s">
        <v>53</v>
      </c>
      <c r="K224" s="1" t="s">
        <v>51</v>
      </c>
      <c r="L224" s="1">
        <v>14.1</v>
      </c>
      <c r="M224" s="1">
        <v>448</v>
      </c>
      <c r="N224" s="1">
        <v>2.4300000000000002</v>
      </c>
      <c r="O224" s="1">
        <v>123</v>
      </c>
      <c r="P224" s="1">
        <v>1833</v>
      </c>
      <c r="Q224" s="1">
        <v>134</v>
      </c>
      <c r="R224" s="1">
        <v>155</v>
      </c>
      <c r="S224" s="1">
        <v>210</v>
      </c>
      <c r="T224" s="1">
        <v>11</v>
      </c>
      <c r="U224" s="1">
        <v>4</v>
      </c>
    </row>
    <row r="225" spans="1:21" x14ac:dyDescent="0.35">
      <c r="A225" s="1">
        <v>224</v>
      </c>
      <c r="B225" s="1">
        <v>1945</v>
      </c>
      <c r="C225" s="1" t="s">
        <v>52</v>
      </c>
      <c r="D225" s="1" t="s">
        <v>21</v>
      </c>
      <c r="E225" s="2">
        <v>38.620123203285424</v>
      </c>
      <c r="F225" s="2" t="str" cm="1">
        <f t="array" ref="F225">_xlfn.IFS(E225&lt;25,"Under 25",E225&lt;40,"Young Adulthood",E225&lt;60,"Middle Adulthood",E225&gt;=60,"Older Adulthood")</f>
        <v>Young Adulthood</v>
      </c>
      <c r="G225" s="1" t="s">
        <v>23</v>
      </c>
      <c r="H225" s="1" t="s">
        <v>53</v>
      </c>
      <c r="I225" s="1" t="s">
        <v>53</v>
      </c>
      <c r="J225" s="1" t="s">
        <v>53</v>
      </c>
      <c r="K225" s="1" t="s">
        <v>54</v>
      </c>
      <c r="L225" s="1">
        <v>1</v>
      </c>
      <c r="M225" s="1">
        <v>309</v>
      </c>
      <c r="N225" s="1">
        <v>3.66</v>
      </c>
      <c r="O225" s="1">
        <v>67</v>
      </c>
      <c r="P225" s="1">
        <v>1214</v>
      </c>
      <c r="Q225" s="1">
        <v>158.1</v>
      </c>
      <c r="R225" s="1">
        <v>101</v>
      </c>
      <c r="S225" s="1">
        <v>309</v>
      </c>
      <c r="T225" s="1">
        <v>9.6999999999999993</v>
      </c>
      <c r="U225" s="1">
        <v>3</v>
      </c>
    </row>
    <row r="226" spans="1:21" x14ac:dyDescent="0.35">
      <c r="A226" s="1">
        <v>225</v>
      </c>
      <c r="B226" s="1">
        <v>2022</v>
      </c>
      <c r="C226" s="1" t="s">
        <v>52</v>
      </c>
      <c r="D226" s="1" t="s">
        <v>21</v>
      </c>
      <c r="E226" s="2">
        <v>38.770704996577685</v>
      </c>
      <c r="F226" s="2" t="str" cm="1">
        <f t="array" ref="F226">_xlfn.IFS(E226&lt;25,"Under 25",E226&lt;40,"Young Adulthood",E226&lt;60,"Middle Adulthood",E226&gt;=60,"Older Adulthood")</f>
        <v>Young Adulthood</v>
      </c>
      <c r="G226" s="1" t="s">
        <v>23</v>
      </c>
      <c r="H226" s="1" t="s">
        <v>53</v>
      </c>
      <c r="I226" s="1" t="s">
        <v>53</v>
      </c>
      <c r="J226" s="1" t="s">
        <v>53</v>
      </c>
      <c r="K226" s="1" t="s">
        <v>54</v>
      </c>
      <c r="L226" s="1">
        <v>0.7</v>
      </c>
      <c r="M226" s="1">
        <v>274</v>
      </c>
      <c r="N226" s="1">
        <v>3.66</v>
      </c>
      <c r="O226" s="1">
        <v>108</v>
      </c>
      <c r="P226" s="1">
        <v>1065</v>
      </c>
      <c r="Q226" s="1">
        <v>88.35</v>
      </c>
      <c r="R226" s="1">
        <v>135</v>
      </c>
      <c r="S226" s="1">
        <v>251</v>
      </c>
      <c r="T226" s="1">
        <v>10.1</v>
      </c>
      <c r="U226" s="1">
        <v>2</v>
      </c>
    </row>
    <row r="227" spans="1:21" x14ac:dyDescent="0.35">
      <c r="A227" s="1">
        <v>226</v>
      </c>
      <c r="B227" s="1">
        <v>1978</v>
      </c>
      <c r="C227" s="1" t="s">
        <v>52</v>
      </c>
      <c r="D227" s="1" t="s">
        <v>26</v>
      </c>
      <c r="E227" s="2">
        <v>56.695414099931554</v>
      </c>
      <c r="F227" s="2" t="str" cm="1">
        <f t="array" ref="F227">_xlfn.IFS(E227&lt;25,"Under 25",E227&lt;40,"Young Adulthood",E227&lt;60,"Middle Adulthood",E227&gt;=60,"Older Adulthood")</f>
        <v>Middle Adulthood</v>
      </c>
      <c r="G227" s="1" t="s">
        <v>23</v>
      </c>
      <c r="H227" s="1" t="s">
        <v>53</v>
      </c>
      <c r="I227" s="1" t="s">
        <v>50</v>
      </c>
      <c r="J227" s="1" t="s">
        <v>53</v>
      </c>
      <c r="K227" s="1" t="s">
        <v>54</v>
      </c>
      <c r="L227" s="1">
        <v>0.5</v>
      </c>
      <c r="M227" s="1">
        <v>223</v>
      </c>
      <c r="N227" s="1">
        <v>3.7</v>
      </c>
      <c r="O227" s="1">
        <v>39</v>
      </c>
      <c r="P227" s="1">
        <v>884</v>
      </c>
      <c r="Q227" s="1">
        <v>75.95</v>
      </c>
      <c r="R227" s="1">
        <v>104</v>
      </c>
      <c r="S227" s="1">
        <v>231</v>
      </c>
      <c r="T227" s="1">
        <v>9.6</v>
      </c>
      <c r="U227" s="1">
        <v>3</v>
      </c>
    </row>
    <row r="228" spans="1:21" x14ac:dyDescent="0.35">
      <c r="A228" s="1">
        <v>227</v>
      </c>
      <c r="B228" s="1">
        <v>999</v>
      </c>
      <c r="C228" s="1" t="s">
        <v>49</v>
      </c>
      <c r="D228" s="1" t="s">
        <v>21</v>
      </c>
      <c r="E228" s="2">
        <v>58.951403148528406</v>
      </c>
      <c r="F228" s="2" t="str" cm="1">
        <f t="array" ref="F228">_xlfn.IFS(E228&lt;25,"Under 25",E228&lt;40,"Young Adulthood",E228&lt;60,"Middle Adulthood",E228&gt;=60,"Older Adulthood")</f>
        <v>Middle Adulthood</v>
      </c>
      <c r="G228" s="1" t="s">
        <v>25</v>
      </c>
      <c r="H228" s="1" t="s">
        <v>53</v>
      </c>
      <c r="I228" s="1" t="s">
        <v>53</v>
      </c>
      <c r="J228" s="1" t="s">
        <v>53</v>
      </c>
      <c r="K228" s="1" t="s">
        <v>54</v>
      </c>
      <c r="L228" s="1">
        <v>2.2999999999999998</v>
      </c>
      <c r="M228" s="1">
        <v>316</v>
      </c>
      <c r="N228" s="1">
        <v>3.35</v>
      </c>
      <c r="O228" s="1">
        <v>172</v>
      </c>
      <c r="P228" s="1">
        <v>1601</v>
      </c>
      <c r="Q228" s="1">
        <v>179.8</v>
      </c>
      <c r="R228" s="1">
        <v>63</v>
      </c>
      <c r="S228" s="1">
        <v>394</v>
      </c>
      <c r="T228" s="1">
        <v>9.6999999999999993</v>
      </c>
      <c r="U228" s="1">
        <v>2</v>
      </c>
    </row>
    <row r="229" spans="1:21" x14ac:dyDescent="0.35">
      <c r="A229" s="1">
        <v>228</v>
      </c>
      <c r="B229" s="1">
        <v>1967</v>
      </c>
      <c r="C229" s="1" t="s">
        <v>52</v>
      </c>
      <c r="D229" s="1" t="s">
        <v>26</v>
      </c>
      <c r="E229" s="2">
        <v>36.922655715263517</v>
      </c>
      <c r="F229" s="2" t="str" cm="1">
        <f t="array" ref="F229">_xlfn.IFS(E229&lt;25,"Under 25",E229&lt;40,"Young Adulthood",E229&lt;60,"Middle Adulthood",E229&gt;=60,"Older Adulthood")</f>
        <v>Young Adulthood</v>
      </c>
      <c r="G229" s="1" t="s">
        <v>23</v>
      </c>
      <c r="H229" s="1" t="s">
        <v>53</v>
      </c>
      <c r="I229" s="1" t="s">
        <v>53</v>
      </c>
      <c r="J229" s="1" t="s">
        <v>53</v>
      </c>
      <c r="K229" s="1" t="s">
        <v>54</v>
      </c>
      <c r="L229" s="1">
        <v>0.7</v>
      </c>
      <c r="M229" s="1">
        <v>215</v>
      </c>
      <c r="N229" s="1">
        <v>3.35</v>
      </c>
      <c r="O229" s="1">
        <v>41</v>
      </c>
      <c r="P229" s="1">
        <v>645</v>
      </c>
      <c r="Q229" s="1">
        <v>93</v>
      </c>
      <c r="R229" s="1">
        <v>74</v>
      </c>
      <c r="S229" s="1">
        <v>165</v>
      </c>
      <c r="T229" s="1">
        <v>9.6</v>
      </c>
      <c r="U229" s="1">
        <v>3</v>
      </c>
    </row>
    <row r="230" spans="1:21" x14ac:dyDescent="0.35">
      <c r="A230" s="1">
        <v>229</v>
      </c>
      <c r="B230" s="1">
        <v>348</v>
      </c>
      <c r="C230" s="1" t="s">
        <v>49</v>
      </c>
      <c r="D230" s="1" t="s">
        <v>21</v>
      </c>
      <c r="E230" s="2">
        <v>62.414784394250511</v>
      </c>
      <c r="F230" s="2" t="str" cm="1">
        <f t="array" ref="F230">_xlfn.IFS(E230&lt;25,"Under 25",E230&lt;40,"Young Adulthood",E230&lt;60,"Middle Adulthood",E230&gt;=60,"Older Adulthood")</f>
        <v>Older Adulthood</v>
      </c>
      <c r="G230" s="1" t="s">
        <v>23</v>
      </c>
      <c r="H230" s="1" t="s">
        <v>50</v>
      </c>
      <c r="I230" s="1" t="s">
        <v>50</v>
      </c>
      <c r="J230" s="1" t="s">
        <v>53</v>
      </c>
      <c r="K230" s="1" t="s">
        <v>55</v>
      </c>
      <c r="L230" s="1">
        <v>4.5</v>
      </c>
      <c r="M230" s="1">
        <v>191</v>
      </c>
      <c r="N230" s="1">
        <v>3.05</v>
      </c>
      <c r="O230" s="1">
        <v>200</v>
      </c>
      <c r="P230" s="1">
        <v>1020</v>
      </c>
      <c r="Q230" s="1">
        <v>175.15</v>
      </c>
      <c r="R230" s="1">
        <v>118</v>
      </c>
      <c r="S230" s="1">
        <v>139</v>
      </c>
      <c r="T230" s="1">
        <v>11.4</v>
      </c>
      <c r="U230" s="1">
        <v>4</v>
      </c>
    </row>
    <row r="231" spans="1:21" x14ac:dyDescent="0.35">
      <c r="A231" s="1">
        <v>230</v>
      </c>
      <c r="B231" s="1">
        <v>1979</v>
      </c>
      <c r="C231" s="1" t="s">
        <v>52</v>
      </c>
      <c r="D231" s="1" t="s">
        <v>26</v>
      </c>
      <c r="E231" s="2">
        <v>34.609171800136892</v>
      </c>
      <c r="F231" s="2" t="str" cm="1">
        <f t="array" ref="F231">_xlfn.IFS(E231&lt;25,"Under 25",E231&lt;40,"Young Adulthood",E231&lt;60,"Middle Adulthood",E231&gt;=60,"Older Adulthood")</f>
        <v>Young Adulthood</v>
      </c>
      <c r="G231" s="1" t="s">
        <v>23</v>
      </c>
      <c r="H231" s="1" t="s">
        <v>53</v>
      </c>
      <c r="I231" s="1" t="s">
        <v>50</v>
      </c>
      <c r="J231" s="1" t="s">
        <v>50</v>
      </c>
      <c r="K231" s="1" t="s">
        <v>54</v>
      </c>
      <c r="L231" s="1">
        <v>3.3</v>
      </c>
      <c r="M231" s="1">
        <v>302</v>
      </c>
      <c r="N231" s="1">
        <v>3.41</v>
      </c>
      <c r="O231" s="1">
        <v>51</v>
      </c>
      <c r="P231" s="1">
        <v>310</v>
      </c>
      <c r="Q231" s="1">
        <v>83.7</v>
      </c>
      <c r="R231" s="1">
        <v>44</v>
      </c>
      <c r="S231" s="1">
        <v>95</v>
      </c>
      <c r="T231" s="1">
        <v>11.5</v>
      </c>
      <c r="U231" s="1">
        <v>4</v>
      </c>
    </row>
    <row r="232" spans="1:21" x14ac:dyDescent="0.35">
      <c r="A232" s="1">
        <v>231</v>
      </c>
      <c r="B232" s="1">
        <v>1165</v>
      </c>
      <c r="C232" s="1" t="s">
        <v>49</v>
      </c>
      <c r="D232" s="1" t="s">
        <v>26</v>
      </c>
      <c r="E232" s="2">
        <v>58.335386721423681</v>
      </c>
      <c r="F232" s="2" t="str" cm="1">
        <f t="array" ref="F232">_xlfn.IFS(E232&lt;25,"Under 25",E232&lt;40,"Young Adulthood",E232&lt;60,"Middle Adulthood",E232&gt;=60,"Older Adulthood")</f>
        <v>Middle Adulthood</v>
      </c>
      <c r="G232" s="1" t="s">
        <v>23</v>
      </c>
      <c r="H232" s="1" t="s">
        <v>53</v>
      </c>
      <c r="I232" s="1" t="s">
        <v>50</v>
      </c>
      <c r="J232" s="1" t="s">
        <v>50</v>
      </c>
      <c r="K232" s="1" t="s">
        <v>54</v>
      </c>
      <c r="L232" s="1">
        <v>3.4</v>
      </c>
      <c r="M232" s="1">
        <v>518</v>
      </c>
      <c r="N232" s="1">
        <v>1.96</v>
      </c>
      <c r="O232" s="1">
        <v>115</v>
      </c>
      <c r="P232" s="1">
        <v>2250</v>
      </c>
      <c r="Q232" s="1">
        <v>203.05</v>
      </c>
      <c r="R232" s="1">
        <v>90</v>
      </c>
      <c r="S232" s="1">
        <v>190</v>
      </c>
      <c r="T232" s="1">
        <v>10.7</v>
      </c>
      <c r="U232" s="1">
        <v>4</v>
      </c>
    </row>
    <row r="233" spans="1:21" x14ac:dyDescent="0.35">
      <c r="A233" s="1">
        <v>232</v>
      </c>
      <c r="B233" s="1">
        <v>1951</v>
      </c>
      <c r="C233" s="1" t="s">
        <v>52</v>
      </c>
      <c r="D233" s="1" t="s">
        <v>21</v>
      </c>
      <c r="E233" s="2">
        <v>50.182067077344286</v>
      </c>
      <c r="F233" s="2" t="str" cm="1">
        <f t="array" ref="F233">_xlfn.IFS(E233&lt;25,"Under 25",E233&lt;40,"Young Adulthood",E233&lt;60,"Middle Adulthood",E233&gt;=60,"Older Adulthood")</f>
        <v>Middle Adulthood</v>
      </c>
      <c r="G233" s="1" t="s">
        <v>23</v>
      </c>
      <c r="H233" s="1" t="s">
        <v>53</v>
      </c>
      <c r="I233" s="1" t="s">
        <v>50</v>
      </c>
      <c r="J233" s="1" t="s">
        <v>53</v>
      </c>
      <c r="K233" s="1" t="s">
        <v>54</v>
      </c>
      <c r="L233" s="1">
        <v>0.4</v>
      </c>
      <c r="M233" s="1">
        <v>267</v>
      </c>
      <c r="N233" s="1">
        <v>3.02</v>
      </c>
      <c r="O233" s="1">
        <v>47</v>
      </c>
      <c r="P233" s="1">
        <v>1001</v>
      </c>
      <c r="Q233" s="1">
        <v>133.30000000000001</v>
      </c>
      <c r="R233" s="1">
        <v>87</v>
      </c>
      <c r="S233" s="1">
        <v>265</v>
      </c>
      <c r="T233" s="1">
        <v>10.6</v>
      </c>
      <c r="U233" s="1">
        <v>3</v>
      </c>
    </row>
    <row r="234" spans="1:21" x14ac:dyDescent="0.35">
      <c r="A234" s="1">
        <v>233</v>
      </c>
      <c r="B234" s="1">
        <v>1932</v>
      </c>
      <c r="C234" s="1" t="s">
        <v>52</v>
      </c>
      <c r="D234" s="1" t="s">
        <v>21</v>
      </c>
      <c r="E234" s="2">
        <v>42.685831622176593</v>
      </c>
      <c r="F234" s="2" t="str" cm="1">
        <f t="array" ref="F234">_xlfn.IFS(E234&lt;25,"Under 25",E234&lt;40,"Young Adulthood",E234&lt;60,"Middle Adulthood",E234&gt;=60,"Older Adulthood")</f>
        <v>Middle Adulthood</v>
      </c>
      <c r="G234" s="1" t="s">
        <v>23</v>
      </c>
      <c r="H234" s="1" t="s">
        <v>53</v>
      </c>
      <c r="I234" s="1" t="s">
        <v>50</v>
      </c>
      <c r="J234" s="1" t="s">
        <v>50</v>
      </c>
      <c r="K234" s="1" t="s">
        <v>54</v>
      </c>
      <c r="L234" s="1">
        <v>0.9</v>
      </c>
      <c r="M234" s="1">
        <v>514</v>
      </c>
      <c r="N234" s="1">
        <v>3.06</v>
      </c>
      <c r="O234" s="1">
        <v>412</v>
      </c>
      <c r="P234" s="1">
        <v>2622</v>
      </c>
      <c r="Q234" s="1">
        <v>105.4</v>
      </c>
      <c r="R234" s="1">
        <v>87</v>
      </c>
      <c r="S234" s="1">
        <v>284</v>
      </c>
      <c r="T234" s="1">
        <v>9.8000000000000007</v>
      </c>
      <c r="U234" s="1">
        <v>4</v>
      </c>
    </row>
    <row r="235" spans="1:21" x14ac:dyDescent="0.35">
      <c r="A235" s="1">
        <v>234</v>
      </c>
      <c r="B235" s="1">
        <v>1776</v>
      </c>
      <c r="C235" s="1" t="s">
        <v>52</v>
      </c>
      <c r="D235" s="1" t="s">
        <v>26</v>
      </c>
      <c r="E235" s="2">
        <v>34.379192334017795</v>
      </c>
      <c r="F235" s="2" t="str" cm="1">
        <f t="array" ref="F235">_xlfn.IFS(E235&lt;25,"Under 25",E235&lt;40,"Young Adulthood",E235&lt;60,"Middle Adulthood",E235&gt;=60,"Older Adulthood")</f>
        <v>Young Adulthood</v>
      </c>
      <c r="G235" s="1" t="s">
        <v>23</v>
      </c>
      <c r="H235" s="1" t="s">
        <v>53</v>
      </c>
      <c r="I235" s="1" t="s">
        <v>53</v>
      </c>
      <c r="J235" s="1" t="s">
        <v>53</v>
      </c>
      <c r="K235" s="1" t="s">
        <v>54</v>
      </c>
      <c r="L235" s="1">
        <v>0.9</v>
      </c>
      <c r="M235" s="1">
        <v>578</v>
      </c>
      <c r="N235" s="1">
        <v>3.35</v>
      </c>
      <c r="O235" s="1">
        <v>78</v>
      </c>
      <c r="P235" s="1">
        <v>976</v>
      </c>
      <c r="Q235" s="1">
        <v>116.25</v>
      </c>
      <c r="R235" s="1">
        <v>177</v>
      </c>
      <c r="S235" s="1">
        <v>322</v>
      </c>
      <c r="T235" s="1">
        <v>11.2</v>
      </c>
      <c r="U235" s="1">
        <v>2</v>
      </c>
    </row>
    <row r="236" spans="1:21" x14ac:dyDescent="0.35">
      <c r="A236" s="1">
        <v>235</v>
      </c>
      <c r="B236" s="1">
        <v>1882</v>
      </c>
      <c r="C236" s="1" t="s">
        <v>52</v>
      </c>
      <c r="D236" s="1" t="s">
        <v>26</v>
      </c>
      <c r="E236" s="2">
        <v>33.182751540041068</v>
      </c>
      <c r="F236" s="2" t="str" cm="1">
        <f t="array" ref="F236">_xlfn.IFS(E236&lt;25,"Under 25",E236&lt;40,"Young Adulthood",E236&lt;60,"Middle Adulthood",E236&gt;=60,"Older Adulthood")</f>
        <v>Young Adulthood</v>
      </c>
      <c r="G236" s="1" t="s">
        <v>23</v>
      </c>
      <c r="H236" s="1" t="s">
        <v>53</v>
      </c>
      <c r="I236" s="1" t="s">
        <v>50</v>
      </c>
      <c r="J236" s="1" t="s">
        <v>53</v>
      </c>
      <c r="K236" s="1" t="s">
        <v>54</v>
      </c>
      <c r="L236" s="1">
        <v>13</v>
      </c>
      <c r="M236" s="1">
        <v>1336</v>
      </c>
      <c r="N236" s="1">
        <v>4.16</v>
      </c>
      <c r="O236" s="1">
        <v>71</v>
      </c>
      <c r="P236" s="1">
        <v>3510</v>
      </c>
      <c r="Q236" s="1">
        <v>209.25</v>
      </c>
      <c r="R236" s="1">
        <v>111</v>
      </c>
      <c r="S236" s="1">
        <v>338</v>
      </c>
      <c r="T236" s="1">
        <v>11.9</v>
      </c>
      <c r="U236" s="1">
        <v>3</v>
      </c>
    </row>
    <row r="237" spans="1:21" x14ac:dyDescent="0.35">
      <c r="A237" s="1">
        <v>236</v>
      </c>
      <c r="B237" s="1">
        <v>1908</v>
      </c>
      <c r="C237" s="1" t="s">
        <v>52</v>
      </c>
      <c r="D237" s="1" t="s">
        <v>21</v>
      </c>
      <c r="E237" s="2">
        <v>38.381930184804929</v>
      </c>
      <c r="F237" s="2" t="str" cm="1">
        <f t="array" ref="F237">_xlfn.IFS(E237&lt;25,"Under 25",E237&lt;40,"Young Adulthood",E237&lt;60,"Middle Adulthood",E237&gt;=60,"Older Adulthood")</f>
        <v>Young Adulthood</v>
      </c>
      <c r="G237" s="1" t="s">
        <v>23</v>
      </c>
      <c r="H237" s="1" t="s">
        <v>53</v>
      </c>
      <c r="I237" s="1" t="s">
        <v>50</v>
      </c>
      <c r="J237" s="1" t="s">
        <v>50</v>
      </c>
      <c r="K237" s="1" t="s">
        <v>54</v>
      </c>
      <c r="L237" s="1">
        <v>1.5</v>
      </c>
      <c r="M237" s="1">
        <v>253</v>
      </c>
      <c r="N237" s="1">
        <v>3.79</v>
      </c>
      <c r="O237" s="1">
        <v>67</v>
      </c>
      <c r="P237" s="1">
        <v>1006</v>
      </c>
      <c r="Q237" s="1">
        <v>139.5</v>
      </c>
      <c r="R237" s="1">
        <v>106</v>
      </c>
      <c r="S237" s="1">
        <v>341</v>
      </c>
      <c r="T237" s="1">
        <v>9.6999999999999993</v>
      </c>
      <c r="U237" s="1">
        <v>3</v>
      </c>
    </row>
    <row r="238" spans="1:21" x14ac:dyDescent="0.35">
      <c r="A238" s="1">
        <v>237</v>
      </c>
      <c r="B238" s="1">
        <v>1882</v>
      </c>
      <c r="C238" s="1" t="s">
        <v>52</v>
      </c>
      <c r="D238" s="1" t="s">
        <v>21</v>
      </c>
      <c r="E238" s="2">
        <v>59.761806981519506</v>
      </c>
      <c r="F238" s="2" t="str" cm="1">
        <f t="array" ref="F238">_xlfn.IFS(E238&lt;25,"Under 25",E238&lt;40,"Young Adulthood",E238&lt;60,"Middle Adulthood",E238&gt;=60,"Older Adulthood")</f>
        <v>Middle Adulthood</v>
      </c>
      <c r="G238" s="1" t="s">
        <v>23</v>
      </c>
      <c r="H238" s="1" t="s">
        <v>53</v>
      </c>
      <c r="I238" s="1" t="s">
        <v>50</v>
      </c>
      <c r="J238" s="1" t="s">
        <v>53</v>
      </c>
      <c r="K238" s="1" t="s">
        <v>54</v>
      </c>
      <c r="L238" s="1">
        <v>1.6</v>
      </c>
      <c r="M238" s="1">
        <v>442</v>
      </c>
      <c r="N238" s="1">
        <v>2.95</v>
      </c>
      <c r="O238" s="1">
        <v>105</v>
      </c>
      <c r="P238" s="1">
        <v>820</v>
      </c>
      <c r="Q238" s="1">
        <v>85.25</v>
      </c>
      <c r="R238" s="1">
        <v>108</v>
      </c>
      <c r="S238" s="1">
        <v>181</v>
      </c>
      <c r="T238" s="1">
        <v>10.1</v>
      </c>
      <c r="U238" s="1">
        <v>3</v>
      </c>
    </row>
    <row r="239" spans="1:21" x14ac:dyDescent="0.35">
      <c r="A239" s="1">
        <v>238</v>
      </c>
      <c r="B239" s="1">
        <v>1874</v>
      </c>
      <c r="C239" s="1" t="s">
        <v>52</v>
      </c>
      <c r="D239" s="1" t="s">
        <v>26</v>
      </c>
      <c r="E239" s="2">
        <v>66.412046543463376</v>
      </c>
      <c r="F239" s="2" t="str" cm="1">
        <f t="array" ref="F239">_xlfn.IFS(E239&lt;25,"Under 25",E239&lt;40,"Young Adulthood",E239&lt;60,"Middle Adulthood",E239&gt;=60,"Older Adulthood")</f>
        <v>Older Adulthood</v>
      </c>
      <c r="G239" s="1" t="s">
        <v>23</v>
      </c>
      <c r="H239" s="1" t="s">
        <v>53</v>
      </c>
      <c r="I239" s="1" t="s">
        <v>53</v>
      </c>
      <c r="J239" s="1" t="s">
        <v>53</v>
      </c>
      <c r="K239" s="1" t="s">
        <v>55</v>
      </c>
      <c r="L239" s="1">
        <v>0.6</v>
      </c>
      <c r="M239" s="1">
        <v>280</v>
      </c>
      <c r="N239" s="1">
        <v>3.35</v>
      </c>
      <c r="O239" s="1">
        <v>73</v>
      </c>
      <c r="P239" s="1">
        <v>1093</v>
      </c>
      <c r="Q239" s="1">
        <v>128.65</v>
      </c>
      <c r="R239" s="1">
        <v>81</v>
      </c>
      <c r="S239" s="1">
        <v>295</v>
      </c>
      <c r="T239" s="1">
        <v>9.8000000000000007</v>
      </c>
      <c r="U239" s="1">
        <v>2</v>
      </c>
    </row>
    <row r="240" spans="1:21" x14ac:dyDescent="0.35">
      <c r="A240" s="1">
        <v>239</v>
      </c>
      <c r="B240" s="1">
        <v>694</v>
      </c>
      <c r="C240" s="1" t="s">
        <v>49</v>
      </c>
      <c r="D240" s="1" t="s">
        <v>21</v>
      </c>
      <c r="E240" s="2">
        <v>46.789869952087614</v>
      </c>
      <c r="F240" s="2" t="str" cm="1">
        <f t="array" ref="F240">_xlfn.IFS(E240&lt;25,"Under 25",E240&lt;40,"Young Adulthood",E240&lt;60,"Middle Adulthood",E240&gt;=60,"Older Adulthood")</f>
        <v>Middle Adulthood</v>
      </c>
      <c r="G240" s="1" t="s">
        <v>23</v>
      </c>
      <c r="H240" s="1" t="s">
        <v>53</v>
      </c>
      <c r="I240" s="1" t="s">
        <v>50</v>
      </c>
      <c r="J240" s="1" t="s">
        <v>50</v>
      </c>
      <c r="K240" s="1" t="s">
        <v>54</v>
      </c>
      <c r="L240" s="1">
        <v>0.8</v>
      </c>
      <c r="M240" s="1">
        <v>300</v>
      </c>
      <c r="N240" s="1">
        <v>2.94</v>
      </c>
      <c r="O240" s="1">
        <v>231</v>
      </c>
      <c r="P240" s="1">
        <v>1794</v>
      </c>
      <c r="Q240" s="1">
        <v>130.19999999999999</v>
      </c>
      <c r="R240" s="1">
        <v>99</v>
      </c>
      <c r="S240" s="1">
        <v>319</v>
      </c>
      <c r="T240" s="1">
        <v>11.2</v>
      </c>
      <c r="U240" s="1">
        <v>4</v>
      </c>
    </row>
    <row r="241" spans="1:21" x14ac:dyDescent="0.35">
      <c r="A241" s="1">
        <v>240</v>
      </c>
      <c r="B241" s="1">
        <v>1831</v>
      </c>
      <c r="C241" s="1" t="s">
        <v>52</v>
      </c>
      <c r="D241" s="1" t="s">
        <v>21</v>
      </c>
      <c r="E241" s="2">
        <v>56.079397672826829</v>
      </c>
      <c r="F241" s="2" t="str" cm="1">
        <f t="array" ref="F241">_xlfn.IFS(E241&lt;25,"Under 25",E241&lt;40,"Young Adulthood",E241&lt;60,"Middle Adulthood",E241&gt;=60,"Older Adulthood")</f>
        <v>Middle Adulthood</v>
      </c>
      <c r="G241" s="1" t="s">
        <v>23</v>
      </c>
      <c r="H241" s="1" t="s">
        <v>53</v>
      </c>
      <c r="I241" s="1" t="s">
        <v>53</v>
      </c>
      <c r="J241" s="1" t="s">
        <v>53</v>
      </c>
      <c r="K241" s="1" t="s">
        <v>54</v>
      </c>
      <c r="L241" s="1">
        <v>0.4</v>
      </c>
      <c r="M241" s="1">
        <v>232</v>
      </c>
      <c r="N241" s="1">
        <v>3.72</v>
      </c>
      <c r="O241" s="1">
        <v>24</v>
      </c>
      <c r="P241" s="1">
        <v>369</v>
      </c>
      <c r="Q241" s="1">
        <v>51.15</v>
      </c>
      <c r="R241" s="1">
        <v>139</v>
      </c>
      <c r="S241" s="1">
        <v>326</v>
      </c>
      <c r="T241" s="1">
        <v>10.1</v>
      </c>
      <c r="U241" s="1">
        <v>3</v>
      </c>
    </row>
    <row r="242" spans="1:21" x14ac:dyDescent="0.35">
      <c r="A242" s="1">
        <v>241</v>
      </c>
      <c r="B242" s="1">
        <v>837</v>
      </c>
      <c r="C242" s="1" t="s">
        <v>56</v>
      </c>
      <c r="D242" s="1" t="s">
        <v>26</v>
      </c>
      <c r="E242" s="2">
        <v>41.374401095140314</v>
      </c>
      <c r="F242" s="2" t="str" cm="1">
        <f t="array" ref="F242">_xlfn.IFS(E242&lt;25,"Under 25",E242&lt;40,"Young Adulthood",E242&lt;60,"Middle Adulthood",E242&gt;=60,"Older Adulthood")</f>
        <v>Middle Adulthood</v>
      </c>
      <c r="G242" s="1" t="s">
        <v>23</v>
      </c>
      <c r="H242" s="1" t="s">
        <v>53</v>
      </c>
      <c r="I242" s="1" t="s">
        <v>50</v>
      </c>
      <c r="J242" s="1" t="s">
        <v>50</v>
      </c>
      <c r="K242" s="1" t="s">
        <v>54</v>
      </c>
      <c r="L242" s="1">
        <v>4.4000000000000004</v>
      </c>
      <c r="M242" s="1">
        <v>316</v>
      </c>
      <c r="N242" s="1">
        <v>3.62</v>
      </c>
      <c r="O242" s="1">
        <v>308</v>
      </c>
      <c r="P242" s="1">
        <v>1119</v>
      </c>
      <c r="Q242" s="1">
        <v>114.7</v>
      </c>
      <c r="R242" s="1">
        <v>322</v>
      </c>
      <c r="S242" s="1">
        <v>282</v>
      </c>
      <c r="T242" s="1">
        <v>9.8000000000000007</v>
      </c>
      <c r="U242" s="1">
        <v>4</v>
      </c>
    </row>
    <row r="243" spans="1:21" x14ac:dyDescent="0.35">
      <c r="A243" s="1">
        <v>242</v>
      </c>
      <c r="B243" s="1">
        <v>1810</v>
      </c>
      <c r="C243" s="1" t="s">
        <v>52</v>
      </c>
      <c r="D243" s="1" t="s">
        <v>21</v>
      </c>
      <c r="E243" s="2">
        <v>64.572210814510612</v>
      </c>
      <c r="F243" s="2" t="str" cm="1">
        <f t="array" ref="F243">_xlfn.IFS(E243&lt;25,"Under 25",E243&lt;40,"Young Adulthood",E243&lt;60,"Middle Adulthood",E243&gt;=60,"Older Adulthood")</f>
        <v>Older Adulthood</v>
      </c>
      <c r="G243" s="1" t="s">
        <v>23</v>
      </c>
      <c r="H243" s="1" t="s">
        <v>53</v>
      </c>
      <c r="I243" s="1" t="s">
        <v>50</v>
      </c>
      <c r="J243" s="1" t="s">
        <v>53</v>
      </c>
      <c r="K243" s="1" t="s">
        <v>54</v>
      </c>
      <c r="L243" s="1">
        <v>1.9</v>
      </c>
      <c r="M243" s="1">
        <v>354</v>
      </c>
      <c r="N243" s="1">
        <v>2.97</v>
      </c>
      <c r="O243" s="1">
        <v>86</v>
      </c>
      <c r="P243" s="1">
        <v>1553</v>
      </c>
      <c r="Q243" s="1">
        <v>196.85</v>
      </c>
      <c r="R243" s="1">
        <v>152</v>
      </c>
      <c r="S243" s="1">
        <v>277</v>
      </c>
      <c r="T243" s="1">
        <v>9.9</v>
      </c>
      <c r="U243" s="1">
        <v>3</v>
      </c>
    </row>
    <row r="244" spans="1:21" x14ac:dyDescent="0.35">
      <c r="A244" s="1">
        <v>243</v>
      </c>
      <c r="B244" s="1">
        <v>930</v>
      </c>
      <c r="C244" s="1" t="s">
        <v>49</v>
      </c>
      <c r="D244" s="1" t="s">
        <v>26</v>
      </c>
      <c r="E244" s="2">
        <v>67.488021902806295</v>
      </c>
      <c r="F244" s="2" t="str" cm="1">
        <f t="array" ref="F244">_xlfn.IFS(E244&lt;25,"Under 25",E244&lt;40,"Young Adulthood",E244&lt;60,"Middle Adulthood",E244&gt;=60,"Older Adulthood")</f>
        <v>Older Adulthood</v>
      </c>
      <c r="G244" s="1" t="s">
        <v>23</v>
      </c>
      <c r="H244" s="1" t="s">
        <v>53</v>
      </c>
      <c r="I244" s="1" t="s">
        <v>50</v>
      </c>
      <c r="J244" s="1" t="s">
        <v>53</v>
      </c>
      <c r="K244" s="1" t="s">
        <v>54</v>
      </c>
      <c r="L244" s="1">
        <v>8</v>
      </c>
      <c r="M244" s="1">
        <v>468</v>
      </c>
      <c r="N244" s="1">
        <v>2.81</v>
      </c>
      <c r="O244" s="1">
        <v>139</v>
      </c>
      <c r="P244" s="1">
        <v>2009</v>
      </c>
      <c r="Q244" s="1">
        <v>198.4</v>
      </c>
      <c r="R244" s="1">
        <v>139</v>
      </c>
      <c r="S244" s="1">
        <v>233</v>
      </c>
      <c r="T244" s="1">
        <v>10</v>
      </c>
      <c r="U244" s="1">
        <v>4</v>
      </c>
    </row>
    <row r="245" spans="1:21" x14ac:dyDescent="0.35">
      <c r="A245" s="1">
        <v>244</v>
      </c>
      <c r="B245" s="1">
        <v>1690</v>
      </c>
      <c r="C245" s="1" t="s">
        <v>49</v>
      </c>
      <c r="D245" s="1" t="s">
        <v>21</v>
      </c>
      <c r="E245" s="2">
        <v>44.829568788501028</v>
      </c>
      <c r="F245" s="2" t="str" cm="1">
        <f t="array" ref="F245">_xlfn.IFS(E245&lt;25,"Under 25",E245&lt;40,"Young Adulthood",E245&lt;60,"Middle Adulthood",E245&gt;=60,"Older Adulthood")</f>
        <v>Middle Adulthood</v>
      </c>
      <c r="G245" s="1" t="s">
        <v>23</v>
      </c>
      <c r="H245" s="1" t="s">
        <v>53</v>
      </c>
      <c r="I245" s="1" t="s">
        <v>53</v>
      </c>
      <c r="J245" s="1" t="s">
        <v>50</v>
      </c>
      <c r="K245" s="1" t="s">
        <v>54</v>
      </c>
      <c r="L245" s="1">
        <v>3.9</v>
      </c>
      <c r="M245" s="1">
        <v>350</v>
      </c>
      <c r="N245" s="1">
        <v>3.22</v>
      </c>
      <c r="O245" s="1">
        <v>121</v>
      </c>
      <c r="P245" s="1">
        <v>1268</v>
      </c>
      <c r="Q245" s="1">
        <v>272.8</v>
      </c>
      <c r="R245" s="1">
        <v>231</v>
      </c>
      <c r="S245" s="1">
        <v>270</v>
      </c>
      <c r="T245" s="1">
        <v>9.6</v>
      </c>
      <c r="U245" s="1">
        <v>3</v>
      </c>
    </row>
    <row r="246" spans="1:21" x14ac:dyDescent="0.35">
      <c r="A246" s="1">
        <v>245</v>
      </c>
      <c r="B246" s="1">
        <v>1790</v>
      </c>
      <c r="C246" s="1" t="s">
        <v>52</v>
      </c>
      <c r="D246" s="1" t="s">
        <v>26</v>
      </c>
      <c r="E246" s="2">
        <v>45.771389459274467</v>
      </c>
      <c r="F246" s="2" t="str" cm="1">
        <f t="array" ref="F246">_xlfn.IFS(E246&lt;25,"Under 25",E246&lt;40,"Young Adulthood",E246&lt;60,"Middle Adulthood",E246&gt;=60,"Older Adulthood")</f>
        <v>Middle Adulthood</v>
      </c>
      <c r="G246" s="1" t="s">
        <v>23</v>
      </c>
      <c r="H246" s="1" t="s">
        <v>53</v>
      </c>
      <c r="I246" s="1" t="s">
        <v>50</v>
      </c>
      <c r="J246" s="1" t="s">
        <v>53</v>
      </c>
      <c r="K246" s="1" t="s">
        <v>54</v>
      </c>
      <c r="L246" s="1">
        <v>0.6</v>
      </c>
      <c r="M246" s="1">
        <v>273</v>
      </c>
      <c r="N246" s="1">
        <v>3.65</v>
      </c>
      <c r="O246" s="1">
        <v>48</v>
      </c>
      <c r="P246" s="1">
        <v>794</v>
      </c>
      <c r="Q246" s="1">
        <v>52.7</v>
      </c>
      <c r="R246" s="1">
        <v>214</v>
      </c>
      <c r="S246" s="1">
        <v>305</v>
      </c>
      <c r="T246" s="1">
        <v>9.6</v>
      </c>
      <c r="U246" s="1">
        <v>3</v>
      </c>
    </row>
    <row r="247" spans="1:21" x14ac:dyDescent="0.35">
      <c r="A247" s="1">
        <v>246</v>
      </c>
      <c r="B247" s="1">
        <v>1435</v>
      </c>
      <c r="C247" s="1" t="s">
        <v>56</v>
      </c>
      <c r="D247" s="1" t="s">
        <v>21</v>
      </c>
      <c r="E247" s="2">
        <v>32.950034223134843</v>
      </c>
      <c r="F247" s="2" t="str" cm="1">
        <f t="array" ref="F247">_xlfn.IFS(E247&lt;25,"Under 25",E247&lt;40,"Young Adulthood",E247&lt;60,"Middle Adulthood",E247&gt;=60,"Older Adulthood")</f>
        <v>Young Adulthood</v>
      </c>
      <c r="G247" s="1" t="s">
        <v>23</v>
      </c>
      <c r="H247" s="1" t="s">
        <v>53</v>
      </c>
      <c r="I247" s="1" t="s">
        <v>50</v>
      </c>
      <c r="J247" s="1" t="s">
        <v>53</v>
      </c>
      <c r="K247" s="1" t="s">
        <v>54</v>
      </c>
      <c r="L247" s="1">
        <v>2.1</v>
      </c>
      <c r="M247" s="1">
        <v>387</v>
      </c>
      <c r="N247" s="1">
        <v>3.77</v>
      </c>
      <c r="O247" s="1">
        <v>63</v>
      </c>
      <c r="P247" s="1">
        <v>1613</v>
      </c>
      <c r="Q247" s="1">
        <v>150.35</v>
      </c>
      <c r="R247" s="1">
        <v>33</v>
      </c>
      <c r="S247" s="1">
        <v>185</v>
      </c>
      <c r="T247" s="1">
        <v>10.1</v>
      </c>
      <c r="U247" s="1">
        <v>4</v>
      </c>
    </row>
    <row r="248" spans="1:21" x14ac:dyDescent="0.35">
      <c r="A248" s="1">
        <v>247</v>
      </c>
      <c r="B248" s="1">
        <v>732</v>
      </c>
      <c r="C248" s="1" t="s">
        <v>56</v>
      </c>
      <c r="D248" s="1" t="s">
        <v>21</v>
      </c>
      <c r="E248" s="2">
        <v>41.221081451060918</v>
      </c>
      <c r="F248" s="2" t="str" cm="1">
        <f t="array" ref="F248">_xlfn.IFS(E248&lt;25,"Under 25",E248&lt;40,"Young Adulthood",E248&lt;60,"Middle Adulthood",E248&gt;=60,"Older Adulthood")</f>
        <v>Middle Adulthood</v>
      </c>
      <c r="G248" s="1" t="s">
        <v>23</v>
      </c>
      <c r="H248" s="1" t="s">
        <v>53</v>
      </c>
      <c r="I248" s="1" t="s">
        <v>50</v>
      </c>
      <c r="J248" s="1" t="s">
        <v>53</v>
      </c>
      <c r="K248" s="1" t="s">
        <v>54</v>
      </c>
      <c r="L248" s="1">
        <v>6.1</v>
      </c>
      <c r="M248" s="1">
        <v>1712</v>
      </c>
      <c r="N248" s="1">
        <v>2.83</v>
      </c>
      <c r="O248" s="1">
        <v>89</v>
      </c>
      <c r="P248" s="1">
        <v>3681</v>
      </c>
      <c r="Q248" s="1">
        <v>158.1</v>
      </c>
      <c r="R248" s="1">
        <v>139</v>
      </c>
      <c r="S248" s="1">
        <v>297</v>
      </c>
      <c r="T248" s="1">
        <v>10</v>
      </c>
      <c r="U248" s="1">
        <v>3</v>
      </c>
    </row>
    <row r="249" spans="1:21" x14ac:dyDescent="0.35">
      <c r="A249" s="1">
        <v>248</v>
      </c>
      <c r="B249" s="1">
        <v>1785</v>
      </c>
      <c r="C249" s="1" t="s">
        <v>52</v>
      </c>
      <c r="D249" s="1" t="s">
        <v>26</v>
      </c>
      <c r="E249" s="2">
        <v>55.416837782340863</v>
      </c>
      <c r="F249" s="2" t="str" cm="1">
        <f t="array" ref="F249">_xlfn.IFS(E249&lt;25,"Under 25",E249&lt;40,"Young Adulthood",E249&lt;60,"Middle Adulthood",E249&gt;=60,"Older Adulthood")</f>
        <v>Middle Adulthood</v>
      </c>
      <c r="G249" s="1" t="s">
        <v>23</v>
      </c>
      <c r="H249" s="1" t="s">
        <v>53</v>
      </c>
      <c r="I249" s="1" t="s">
        <v>50</v>
      </c>
      <c r="J249" s="1" t="s">
        <v>53</v>
      </c>
      <c r="K249" s="1" t="s">
        <v>54</v>
      </c>
      <c r="L249" s="1">
        <v>0.8</v>
      </c>
      <c r="M249" s="1">
        <v>324</v>
      </c>
      <c r="N249" s="1">
        <v>3.51</v>
      </c>
      <c r="O249" s="1">
        <v>39</v>
      </c>
      <c r="P249" s="1">
        <v>1237</v>
      </c>
      <c r="Q249" s="1">
        <v>66.650000000000006</v>
      </c>
      <c r="R249" s="1">
        <v>146</v>
      </c>
      <c r="S249" s="1">
        <v>371</v>
      </c>
      <c r="T249" s="1">
        <v>10</v>
      </c>
      <c r="U249" s="1">
        <v>3</v>
      </c>
    </row>
    <row r="250" spans="1:21" x14ac:dyDescent="0.35">
      <c r="A250" s="1">
        <v>249</v>
      </c>
      <c r="B250" s="1">
        <v>1783</v>
      </c>
      <c r="C250" s="1" t="s">
        <v>52</v>
      </c>
      <c r="D250" s="1" t="s">
        <v>21</v>
      </c>
      <c r="E250" s="2">
        <v>47.980835044490078</v>
      </c>
      <c r="F250" s="2" t="str" cm="1">
        <f t="array" ref="F250">_xlfn.IFS(E250&lt;25,"Under 25",E250&lt;40,"Young Adulthood",E250&lt;60,"Middle Adulthood",E250&gt;=60,"Older Adulthood")</f>
        <v>Middle Adulthood</v>
      </c>
      <c r="G250" s="1" t="s">
        <v>23</v>
      </c>
      <c r="H250" s="1" t="s">
        <v>53</v>
      </c>
      <c r="I250" s="1" t="s">
        <v>53</v>
      </c>
      <c r="J250" s="1" t="s">
        <v>50</v>
      </c>
      <c r="K250" s="1" t="s">
        <v>54</v>
      </c>
      <c r="L250" s="1">
        <v>1.3</v>
      </c>
      <c r="M250" s="1">
        <v>242</v>
      </c>
      <c r="N250" s="1">
        <v>3.2</v>
      </c>
      <c r="O250" s="1">
        <v>35</v>
      </c>
      <c r="P250" s="1">
        <v>1556</v>
      </c>
      <c r="Q250" s="1">
        <v>175.15</v>
      </c>
      <c r="R250" s="1">
        <v>71</v>
      </c>
      <c r="S250" s="1">
        <v>195</v>
      </c>
      <c r="T250" s="1">
        <v>10.6</v>
      </c>
      <c r="U250" s="1">
        <v>4</v>
      </c>
    </row>
    <row r="251" spans="1:21" x14ac:dyDescent="0.35">
      <c r="A251" s="1">
        <v>250</v>
      </c>
      <c r="B251" s="1">
        <v>1769</v>
      </c>
      <c r="C251" s="1" t="s">
        <v>52</v>
      </c>
      <c r="D251" s="1" t="s">
        <v>26</v>
      </c>
      <c r="E251" s="2">
        <v>40.791238877481177</v>
      </c>
      <c r="F251" s="2" t="str" cm="1">
        <f t="array" ref="F251">_xlfn.IFS(E251&lt;25,"Under 25",E251&lt;40,"Young Adulthood",E251&lt;60,"Middle Adulthood",E251&gt;=60,"Older Adulthood")</f>
        <v>Middle Adulthood</v>
      </c>
      <c r="G251" s="1" t="s">
        <v>23</v>
      </c>
      <c r="H251" s="1" t="s">
        <v>53</v>
      </c>
      <c r="I251" s="1" t="s">
        <v>50</v>
      </c>
      <c r="J251" s="1" t="s">
        <v>53</v>
      </c>
      <c r="K251" s="1" t="s">
        <v>54</v>
      </c>
      <c r="L251" s="1">
        <v>0.6</v>
      </c>
      <c r="M251" s="1">
        <v>299</v>
      </c>
      <c r="N251" s="1">
        <v>3.36</v>
      </c>
      <c r="O251" s="1">
        <v>23</v>
      </c>
      <c r="P251" s="1">
        <v>2769</v>
      </c>
      <c r="Q251" s="1">
        <v>220.1</v>
      </c>
      <c r="R251" s="1">
        <v>85</v>
      </c>
      <c r="S251" s="1">
        <v>303</v>
      </c>
      <c r="T251" s="1">
        <v>10.9</v>
      </c>
      <c r="U251" s="1">
        <v>4</v>
      </c>
    </row>
    <row r="252" spans="1:21" x14ac:dyDescent="0.35">
      <c r="A252" s="1">
        <v>251</v>
      </c>
      <c r="B252" s="1">
        <v>1457</v>
      </c>
      <c r="C252" s="1" t="s">
        <v>52</v>
      </c>
      <c r="D252" s="1" t="s">
        <v>21</v>
      </c>
      <c r="E252" s="2">
        <v>56.974674880219027</v>
      </c>
      <c r="F252" s="2" t="str" cm="1">
        <f t="array" ref="F252">_xlfn.IFS(E252&lt;25,"Under 25",E252&lt;40,"Young Adulthood",E252&lt;60,"Middle Adulthood",E252&gt;=60,"Older Adulthood")</f>
        <v>Middle Adulthood</v>
      </c>
      <c r="G252" s="1" t="s">
        <v>23</v>
      </c>
      <c r="H252" s="1" t="s">
        <v>53</v>
      </c>
      <c r="I252" s="1" t="s">
        <v>53</v>
      </c>
      <c r="J252" s="1" t="s">
        <v>53</v>
      </c>
      <c r="K252" s="1" t="s">
        <v>54</v>
      </c>
      <c r="L252" s="1">
        <v>0.5</v>
      </c>
      <c r="M252" s="1">
        <v>227</v>
      </c>
      <c r="N252" s="1">
        <v>3.61</v>
      </c>
      <c r="O252" s="1">
        <v>40</v>
      </c>
      <c r="P252" s="1">
        <v>676</v>
      </c>
      <c r="Q252" s="1">
        <v>83</v>
      </c>
      <c r="R252" s="1">
        <v>120</v>
      </c>
      <c r="S252" s="1">
        <v>249</v>
      </c>
      <c r="T252" s="1">
        <v>9.9</v>
      </c>
      <c r="U252" s="1">
        <v>2</v>
      </c>
    </row>
    <row r="253" spans="1:21" x14ac:dyDescent="0.35">
      <c r="A253" s="1">
        <v>252</v>
      </c>
      <c r="B253" s="1">
        <v>1770</v>
      </c>
      <c r="C253" s="1" t="s">
        <v>52</v>
      </c>
      <c r="D253" s="1" t="s">
        <v>21</v>
      </c>
      <c r="E253" s="2">
        <v>68.462696783025322</v>
      </c>
      <c r="F253" s="2" t="str" cm="1">
        <f t="array" ref="F253">_xlfn.IFS(E253&lt;25,"Under 25",E253&lt;40,"Young Adulthood",E253&lt;60,"Middle Adulthood",E253&gt;=60,"Older Adulthood")</f>
        <v>Older Adulthood</v>
      </c>
      <c r="G253" s="1" t="s">
        <v>23</v>
      </c>
      <c r="H253" s="1" t="s">
        <v>53</v>
      </c>
      <c r="I253" s="1" t="s">
        <v>50</v>
      </c>
      <c r="J253" s="1" t="s">
        <v>50</v>
      </c>
      <c r="K253" s="1" t="s">
        <v>54</v>
      </c>
      <c r="L253" s="1">
        <v>1.1000000000000001</v>
      </c>
      <c r="M253" s="1">
        <v>246</v>
      </c>
      <c r="N253" s="1">
        <v>3.35</v>
      </c>
      <c r="O253" s="1">
        <v>116</v>
      </c>
      <c r="P253" s="1">
        <v>924</v>
      </c>
      <c r="Q253" s="1">
        <v>113.15</v>
      </c>
      <c r="R253" s="1">
        <v>90</v>
      </c>
      <c r="S253" s="1">
        <v>317</v>
      </c>
      <c r="T253" s="1">
        <v>10</v>
      </c>
      <c r="U253" s="1">
        <v>4</v>
      </c>
    </row>
    <row r="254" spans="1:21" x14ac:dyDescent="0.35">
      <c r="A254" s="1">
        <v>253</v>
      </c>
      <c r="B254" s="1">
        <v>1765</v>
      </c>
      <c r="C254" s="1" t="s">
        <v>52</v>
      </c>
      <c r="D254" s="1" t="s">
        <v>21</v>
      </c>
      <c r="E254" s="2">
        <v>78.439425051334709</v>
      </c>
      <c r="F254" s="2" t="str" cm="1">
        <f t="array" ref="F254">_xlfn.IFS(E254&lt;25,"Under 25",E254&lt;40,"Young Adulthood",E254&lt;60,"Middle Adulthood",E254&gt;=60,"Older Adulthood")</f>
        <v>Older Adulthood</v>
      </c>
      <c r="G254" s="1" t="s">
        <v>25</v>
      </c>
      <c r="H254" s="1" t="s">
        <v>50</v>
      </c>
      <c r="I254" s="1" t="s">
        <v>50</v>
      </c>
      <c r="J254" s="1" t="s">
        <v>50</v>
      </c>
      <c r="K254" s="1" t="s">
        <v>54</v>
      </c>
      <c r="L254" s="1">
        <v>7.1</v>
      </c>
      <c r="M254" s="1">
        <v>243</v>
      </c>
      <c r="N254" s="1">
        <v>3.03</v>
      </c>
      <c r="O254" s="1">
        <v>380</v>
      </c>
      <c r="P254" s="1">
        <v>983</v>
      </c>
      <c r="Q254" s="1">
        <v>158.1</v>
      </c>
      <c r="R254" s="1">
        <v>154</v>
      </c>
      <c r="S254" s="1">
        <v>97</v>
      </c>
      <c r="T254" s="1">
        <v>11.2</v>
      </c>
      <c r="U254" s="1">
        <v>4</v>
      </c>
    </row>
    <row r="255" spans="1:21" x14ac:dyDescent="0.35">
      <c r="A255" s="1">
        <v>254</v>
      </c>
      <c r="B255" s="1">
        <v>737</v>
      </c>
      <c r="C255" s="1" t="s">
        <v>56</v>
      </c>
      <c r="D255" s="1" t="s">
        <v>21</v>
      </c>
      <c r="E255" s="2">
        <v>39.857631759069129</v>
      </c>
      <c r="F255" s="2" t="str" cm="1">
        <f t="array" ref="F255">_xlfn.IFS(E255&lt;25,"Under 25",E255&lt;40,"Young Adulthood",E255&lt;60,"Middle Adulthood",E255&gt;=60,"Older Adulthood")</f>
        <v>Young Adulthood</v>
      </c>
      <c r="G255" s="1" t="s">
        <v>23</v>
      </c>
      <c r="H255" s="1" t="s">
        <v>53</v>
      </c>
      <c r="I255" s="1" t="s">
        <v>50</v>
      </c>
      <c r="J255" s="1" t="s">
        <v>50</v>
      </c>
      <c r="K255" s="1" t="s">
        <v>54</v>
      </c>
      <c r="L255" s="1">
        <v>3.1</v>
      </c>
      <c r="M255" s="1">
        <v>227</v>
      </c>
      <c r="N255" s="1">
        <v>3.75</v>
      </c>
      <c r="O255" s="1">
        <v>121</v>
      </c>
      <c r="P255" s="1">
        <v>1136</v>
      </c>
      <c r="Q255" s="1">
        <v>110</v>
      </c>
      <c r="R255" s="1">
        <v>91</v>
      </c>
      <c r="S255" s="1">
        <v>264</v>
      </c>
      <c r="T255" s="1">
        <v>10</v>
      </c>
      <c r="U255" s="1">
        <v>3</v>
      </c>
    </row>
    <row r="256" spans="1:21" x14ac:dyDescent="0.35">
      <c r="A256" s="1">
        <v>255</v>
      </c>
      <c r="B256" s="1">
        <v>1735</v>
      </c>
      <c r="C256" s="1" t="s">
        <v>52</v>
      </c>
      <c r="D256" s="1" t="s">
        <v>26</v>
      </c>
      <c r="E256" s="2">
        <v>35.310061601642708</v>
      </c>
      <c r="F256" s="2" t="str" cm="1">
        <f t="array" ref="F256">_xlfn.IFS(E256&lt;25,"Under 25",E256&lt;40,"Young Adulthood",E256&lt;60,"Middle Adulthood",E256&gt;=60,"Older Adulthood")</f>
        <v>Young Adulthood</v>
      </c>
      <c r="G256" s="1" t="s">
        <v>23</v>
      </c>
      <c r="H256" s="1" t="s">
        <v>53</v>
      </c>
      <c r="I256" s="1" t="s">
        <v>50</v>
      </c>
      <c r="J256" s="1" t="s">
        <v>50</v>
      </c>
      <c r="K256" s="1" t="s">
        <v>54</v>
      </c>
      <c r="L256" s="1">
        <v>0.7</v>
      </c>
      <c r="M256" s="1">
        <v>193</v>
      </c>
      <c r="N256" s="1">
        <v>3.85</v>
      </c>
      <c r="O256" s="1">
        <v>35</v>
      </c>
      <c r="P256" s="1">
        <v>466</v>
      </c>
      <c r="Q256" s="1">
        <v>53</v>
      </c>
      <c r="R256" s="1">
        <v>118</v>
      </c>
      <c r="S256" s="1">
        <v>156</v>
      </c>
      <c r="T256" s="1">
        <v>10.3</v>
      </c>
      <c r="U256" s="1">
        <v>3</v>
      </c>
    </row>
    <row r="257" spans="1:21" x14ac:dyDescent="0.35">
      <c r="A257" s="1">
        <v>256</v>
      </c>
      <c r="B257" s="1">
        <v>1701</v>
      </c>
      <c r="C257" s="1" t="s">
        <v>52</v>
      </c>
      <c r="D257" s="1" t="s">
        <v>21</v>
      </c>
      <c r="E257" s="2">
        <v>31.444216290212182</v>
      </c>
      <c r="F257" s="2" t="str" cm="1">
        <f t="array" ref="F257">_xlfn.IFS(E257&lt;25,"Under 25",E257&lt;40,"Young Adulthood",E257&lt;60,"Middle Adulthood",E257&gt;=60,"Older Adulthood")</f>
        <v>Young Adulthood</v>
      </c>
      <c r="G257" s="1" t="s">
        <v>23</v>
      </c>
      <c r="H257" s="1" t="s">
        <v>53</v>
      </c>
      <c r="I257" s="1" t="s">
        <v>53</v>
      </c>
      <c r="J257" s="1" t="s">
        <v>53</v>
      </c>
      <c r="K257" s="1" t="s">
        <v>54</v>
      </c>
      <c r="L257" s="1">
        <v>1.1000000000000001</v>
      </c>
      <c r="M257" s="1">
        <v>336</v>
      </c>
      <c r="N257" s="1">
        <v>3.74</v>
      </c>
      <c r="O257" s="1">
        <v>48</v>
      </c>
      <c r="P257" s="1">
        <v>823</v>
      </c>
      <c r="Q257" s="1">
        <v>84</v>
      </c>
      <c r="R257" s="1">
        <v>108</v>
      </c>
      <c r="S257" s="1">
        <v>242</v>
      </c>
      <c r="T257" s="1">
        <v>9.6999999999999993</v>
      </c>
      <c r="U257" s="1">
        <v>3</v>
      </c>
    </row>
    <row r="258" spans="1:21" x14ac:dyDescent="0.35">
      <c r="A258" s="1">
        <v>257</v>
      </c>
      <c r="B258" s="1">
        <v>1614</v>
      </c>
      <c r="C258" s="1" t="s">
        <v>52</v>
      </c>
      <c r="D258" s="1" t="s">
        <v>21</v>
      </c>
      <c r="E258" s="2">
        <v>58.264202600958249</v>
      </c>
      <c r="F258" s="2" t="str" cm="1">
        <f t="array" ref="F258">_xlfn.IFS(E258&lt;25,"Under 25",E258&lt;40,"Young Adulthood",E258&lt;60,"Middle Adulthood",E258&gt;=60,"Older Adulthood")</f>
        <v>Middle Adulthood</v>
      </c>
      <c r="G258" s="1" t="s">
        <v>23</v>
      </c>
      <c r="H258" s="1" t="s">
        <v>53</v>
      </c>
      <c r="I258" s="1" t="s">
        <v>53</v>
      </c>
      <c r="J258" s="1" t="s">
        <v>53</v>
      </c>
      <c r="K258" s="1" t="s">
        <v>54</v>
      </c>
      <c r="L258" s="1">
        <v>0.5</v>
      </c>
      <c r="M258" s="1">
        <v>280</v>
      </c>
      <c r="N258" s="1">
        <v>4.2300000000000004</v>
      </c>
      <c r="O258" s="1">
        <v>36</v>
      </c>
      <c r="P258" s="1">
        <v>377</v>
      </c>
      <c r="Q258" s="1">
        <v>56</v>
      </c>
      <c r="R258" s="1">
        <v>146</v>
      </c>
      <c r="S258" s="1">
        <v>227</v>
      </c>
      <c r="T258" s="1">
        <v>10.6</v>
      </c>
      <c r="U258" s="1">
        <v>2</v>
      </c>
    </row>
    <row r="259" spans="1:21" x14ac:dyDescent="0.35">
      <c r="A259" s="1">
        <v>258</v>
      </c>
      <c r="B259" s="1">
        <v>1702</v>
      </c>
      <c r="C259" s="1" t="s">
        <v>52</v>
      </c>
      <c r="D259" s="1" t="s">
        <v>21</v>
      </c>
      <c r="E259" s="2">
        <v>51.488021902806295</v>
      </c>
      <c r="F259" s="2" t="str" cm="1">
        <f t="array" ref="F259">_xlfn.IFS(E259&lt;25,"Under 25",E259&lt;40,"Young Adulthood",E259&lt;60,"Middle Adulthood",E259&gt;=60,"Older Adulthood")</f>
        <v>Middle Adulthood</v>
      </c>
      <c r="G259" s="1" t="s">
        <v>23</v>
      </c>
      <c r="H259" s="1" t="s">
        <v>53</v>
      </c>
      <c r="I259" s="1" t="s">
        <v>53</v>
      </c>
      <c r="J259" s="1" t="s">
        <v>53</v>
      </c>
      <c r="K259" s="1" t="s">
        <v>54</v>
      </c>
      <c r="L259" s="1">
        <v>1.1000000000000001</v>
      </c>
      <c r="M259" s="1">
        <v>414</v>
      </c>
      <c r="N259" s="1">
        <v>3.44</v>
      </c>
      <c r="O259" s="1">
        <v>80</v>
      </c>
      <c r="P259" s="1">
        <v>1003</v>
      </c>
      <c r="Q259" s="1">
        <v>99</v>
      </c>
      <c r="R259" s="1">
        <v>55</v>
      </c>
      <c r="S259" s="1">
        <v>271</v>
      </c>
      <c r="T259" s="1">
        <v>9.6</v>
      </c>
      <c r="U259" s="1">
        <v>1</v>
      </c>
    </row>
    <row r="260" spans="1:21" x14ac:dyDescent="0.35">
      <c r="A260" s="1">
        <v>259</v>
      </c>
      <c r="B260" s="1">
        <v>1615</v>
      </c>
      <c r="C260" s="1" t="s">
        <v>52</v>
      </c>
      <c r="D260" s="1" t="s">
        <v>26</v>
      </c>
      <c r="E260" s="2">
        <v>59.969883641341546</v>
      </c>
      <c r="F260" s="2" t="str" cm="1">
        <f t="array" ref="F260">_xlfn.IFS(E260&lt;25,"Under 25",E260&lt;40,"Young Adulthood",E260&lt;60,"Middle Adulthood",E260&gt;=60,"Older Adulthood")</f>
        <v>Middle Adulthood</v>
      </c>
      <c r="G260" s="1" t="s">
        <v>23</v>
      </c>
      <c r="H260" s="1" t="s">
        <v>53</v>
      </c>
      <c r="I260" s="1" t="s">
        <v>50</v>
      </c>
      <c r="J260" s="1" t="s">
        <v>53</v>
      </c>
      <c r="K260" s="1" t="s">
        <v>54</v>
      </c>
      <c r="L260" s="1">
        <v>3.1</v>
      </c>
      <c r="M260" s="1">
        <v>277</v>
      </c>
      <c r="N260" s="1">
        <v>2.97</v>
      </c>
      <c r="O260" s="1">
        <v>42</v>
      </c>
      <c r="P260" s="1">
        <v>1110</v>
      </c>
      <c r="Q260" s="1">
        <v>125</v>
      </c>
      <c r="R260" s="1">
        <v>126</v>
      </c>
      <c r="S260" s="1">
        <v>221</v>
      </c>
      <c r="T260" s="1">
        <v>9.8000000000000007</v>
      </c>
      <c r="U260" s="1">
        <v>3</v>
      </c>
    </row>
    <row r="261" spans="1:21" x14ac:dyDescent="0.35">
      <c r="A261" s="1">
        <v>260</v>
      </c>
      <c r="B261" s="1">
        <v>1656</v>
      </c>
      <c r="C261" s="1" t="s">
        <v>52</v>
      </c>
      <c r="D261" s="1" t="s">
        <v>26</v>
      </c>
      <c r="E261" s="2">
        <v>74.524298425735793</v>
      </c>
      <c r="F261" s="2" t="str" cm="1">
        <f t="array" ref="F261">_xlfn.IFS(E261&lt;25,"Under 25",E261&lt;40,"Young Adulthood",E261&lt;60,"Middle Adulthood",E261&gt;=60,"Older Adulthood")</f>
        <v>Older Adulthood</v>
      </c>
      <c r="G261" s="1" t="s">
        <v>25</v>
      </c>
      <c r="H261" s="1" t="s">
        <v>53</v>
      </c>
      <c r="I261" s="1" t="s">
        <v>50</v>
      </c>
      <c r="J261" s="1" t="s">
        <v>53</v>
      </c>
      <c r="K261" s="1" t="s">
        <v>54</v>
      </c>
      <c r="L261" s="1">
        <v>5.6</v>
      </c>
      <c r="M261" s="1">
        <v>232</v>
      </c>
      <c r="N261" s="1">
        <v>3.59</v>
      </c>
      <c r="O261" s="1">
        <v>188</v>
      </c>
      <c r="P261" s="1">
        <v>1120</v>
      </c>
      <c r="Q261" s="1">
        <v>98</v>
      </c>
      <c r="R261" s="1">
        <v>128</v>
      </c>
      <c r="S261" s="1">
        <v>248</v>
      </c>
      <c r="T261" s="1">
        <v>10.9</v>
      </c>
      <c r="U261" s="1">
        <v>4</v>
      </c>
    </row>
    <row r="262" spans="1:21" x14ac:dyDescent="0.35">
      <c r="A262" s="1">
        <v>261</v>
      </c>
      <c r="B262" s="1">
        <v>1677</v>
      </c>
      <c r="C262" s="1" t="s">
        <v>52</v>
      </c>
      <c r="D262" s="1" t="s">
        <v>26</v>
      </c>
      <c r="E262" s="2">
        <v>52.364134154688571</v>
      </c>
      <c r="F262" s="2" t="str" cm="1">
        <f t="array" ref="F262">_xlfn.IFS(E262&lt;25,"Under 25",E262&lt;40,"Young Adulthood",E262&lt;60,"Middle Adulthood",E262&gt;=60,"Older Adulthood")</f>
        <v>Middle Adulthood</v>
      </c>
      <c r="G262" s="1" t="s">
        <v>23</v>
      </c>
      <c r="H262" s="1" t="s">
        <v>53</v>
      </c>
      <c r="I262" s="1" t="s">
        <v>50</v>
      </c>
      <c r="J262" s="1" t="s">
        <v>50</v>
      </c>
      <c r="K262" s="1" t="s">
        <v>54</v>
      </c>
      <c r="L262" s="1">
        <v>3.2</v>
      </c>
      <c r="M262" s="1">
        <v>375</v>
      </c>
      <c r="N262" s="1">
        <v>3.14</v>
      </c>
      <c r="O262" s="1">
        <v>129</v>
      </c>
      <c r="P262" s="1">
        <v>857</v>
      </c>
      <c r="Q262" s="1">
        <v>89</v>
      </c>
      <c r="R262" s="1">
        <v>108</v>
      </c>
      <c r="S262" s="1">
        <v>375</v>
      </c>
      <c r="T262" s="1">
        <v>9.5</v>
      </c>
      <c r="U262" s="1">
        <v>3</v>
      </c>
    </row>
    <row r="263" spans="1:21" x14ac:dyDescent="0.35">
      <c r="A263" s="1">
        <v>262</v>
      </c>
      <c r="B263" s="1">
        <v>1666</v>
      </c>
      <c r="C263" s="1" t="s">
        <v>52</v>
      </c>
      <c r="D263" s="1" t="s">
        <v>26</v>
      </c>
      <c r="E263" s="2">
        <v>42.787132101300479</v>
      </c>
      <c r="F263" s="2" t="str" cm="1">
        <f t="array" ref="F263">_xlfn.IFS(E263&lt;25,"Under 25",E263&lt;40,"Young Adulthood",E263&lt;60,"Middle Adulthood",E263&gt;=60,"Older Adulthood")</f>
        <v>Middle Adulthood</v>
      </c>
      <c r="G263" s="1" t="s">
        <v>23</v>
      </c>
      <c r="H263" s="1" t="s">
        <v>53</v>
      </c>
      <c r="I263" s="1" t="s">
        <v>50</v>
      </c>
      <c r="J263" s="1" t="s">
        <v>53</v>
      </c>
      <c r="K263" s="1" t="s">
        <v>54</v>
      </c>
      <c r="L263" s="1">
        <v>2.8</v>
      </c>
      <c r="M263" s="1">
        <v>322</v>
      </c>
      <c r="N263" s="1">
        <v>3.06</v>
      </c>
      <c r="O263" s="1">
        <v>65</v>
      </c>
      <c r="P263" s="1">
        <v>2562</v>
      </c>
      <c r="Q263" s="1">
        <v>91</v>
      </c>
      <c r="R263" s="1">
        <v>209</v>
      </c>
      <c r="S263" s="1">
        <v>231</v>
      </c>
      <c r="T263" s="1">
        <v>9.5</v>
      </c>
      <c r="U263" s="1">
        <v>3</v>
      </c>
    </row>
    <row r="264" spans="1:21" x14ac:dyDescent="0.35">
      <c r="A264" s="1">
        <v>263</v>
      </c>
      <c r="B264" s="1">
        <v>1301</v>
      </c>
      <c r="C264" s="1" t="s">
        <v>56</v>
      </c>
      <c r="D264" s="1" t="s">
        <v>26</v>
      </c>
      <c r="E264" s="2">
        <v>34.874743326488705</v>
      </c>
      <c r="F264" s="2" t="str" cm="1">
        <f t="array" ref="F264">_xlfn.IFS(E264&lt;25,"Under 25",E264&lt;40,"Young Adulthood",E264&lt;60,"Middle Adulthood",E264&gt;=60,"Older Adulthood")</f>
        <v>Young Adulthood</v>
      </c>
      <c r="G264" s="1" t="s">
        <v>23</v>
      </c>
      <c r="H264" s="1" t="s">
        <v>53</v>
      </c>
      <c r="I264" s="1" t="s">
        <v>50</v>
      </c>
      <c r="J264" s="1" t="s">
        <v>50</v>
      </c>
      <c r="K264" s="1" t="s">
        <v>55</v>
      </c>
      <c r="L264" s="1">
        <v>1.1000000000000001</v>
      </c>
      <c r="M264" s="1">
        <v>432</v>
      </c>
      <c r="N264" s="1">
        <v>3.57</v>
      </c>
      <c r="O264" s="1">
        <v>45</v>
      </c>
      <c r="P264" s="1">
        <v>1406</v>
      </c>
      <c r="Q264" s="1">
        <v>190</v>
      </c>
      <c r="R264" s="1">
        <v>77</v>
      </c>
      <c r="S264" s="1">
        <v>248</v>
      </c>
      <c r="T264" s="1">
        <v>11.4</v>
      </c>
      <c r="U264" s="1">
        <v>4</v>
      </c>
    </row>
    <row r="265" spans="1:21" x14ac:dyDescent="0.35">
      <c r="A265" s="1">
        <v>264</v>
      </c>
      <c r="B265" s="1">
        <v>1542</v>
      </c>
      <c r="C265" s="1" t="s">
        <v>56</v>
      </c>
      <c r="D265" s="1" t="s">
        <v>26</v>
      </c>
      <c r="E265" s="2">
        <v>44.139630390143736</v>
      </c>
      <c r="F265" s="2" t="str" cm="1">
        <f t="array" ref="F265">_xlfn.IFS(E265&lt;25,"Under 25",E265&lt;40,"Young Adulthood",E265&lt;60,"Middle Adulthood",E265&gt;=60,"Older Adulthood")</f>
        <v>Middle Adulthood</v>
      </c>
      <c r="G265" s="1" t="s">
        <v>23</v>
      </c>
      <c r="H265" s="1" t="s">
        <v>53</v>
      </c>
      <c r="I265" s="1" t="s">
        <v>50</v>
      </c>
      <c r="J265" s="1" t="s">
        <v>50</v>
      </c>
      <c r="K265" s="1" t="s">
        <v>54</v>
      </c>
      <c r="L265" s="1">
        <v>3.4</v>
      </c>
      <c r="M265" s="1">
        <v>356</v>
      </c>
      <c r="N265" s="1">
        <v>3.12</v>
      </c>
      <c r="O265" s="1">
        <v>188</v>
      </c>
      <c r="P265" s="1">
        <v>1911</v>
      </c>
      <c r="Q265" s="1">
        <v>92</v>
      </c>
      <c r="R265" s="1">
        <v>130</v>
      </c>
      <c r="S265" s="1">
        <v>318</v>
      </c>
      <c r="T265" s="1">
        <v>11.2</v>
      </c>
      <c r="U265" s="1">
        <v>3</v>
      </c>
    </row>
    <row r="266" spans="1:21" x14ac:dyDescent="0.35">
      <c r="A266" s="1">
        <v>265</v>
      </c>
      <c r="B266" s="1">
        <v>1084</v>
      </c>
      <c r="C266" s="1" t="s">
        <v>56</v>
      </c>
      <c r="D266" s="1" t="s">
        <v>26</v>
      </c>
      <c r="E266" s="2">
        <v>46.381930184804929</v>
      </c>
      <c r="F266" s="2" t="str" cm="1">
        <f t="array" ref="F266">_xlfn.IFS(E266&lt;25,"Under 25",E266&lt;40,"Young Adulthood",E266&lt;60,"Middle Adulthood",E266&gt;=60,"Older Adulthood")</f>
        <v>Middle Adulthood</v>
      </c>
      <c r="G266" s="1" t="s">
        <v>23</v>
      </c>
      <c r="H266" s="1" t="s">
        <v>53</v>
      </c>
      <c r="I266" s="1" t="s">
        <v>50</v>
      </c>
      <c r="J266" s="1" t="s">
        <v>53</v>
      </c>
      <c r="K266" s="1" t="s">
        <v>54</v>
      </c>
      <c r="L266" s="1">
        <v>3.5</v>
      </c>
      <c r="M266" s="1">
        <v>348</v>
      </c>
      <c r="N266" s="1">
        <v>3.2</v>
      </c>
      <c r="O266" s="1">
        <v>121</v>
      </c>
      <c r="P266" s="1">
        <v>938</v>
      </c>
      <c r="Q266" s="1">
        <v>120</v>
      </c>
      <c r="R266" s="1">
        <v>146</v>
      </c>
      <c r="S266" s="1">
        <v>296</v>
      </c>
      <c r="T266" s="1">
        <v>10</v>
      </c>
      <c r="U266" s="1">
        <v>4</v>
      </c>
    </row>
    <row r="267" spans="1:21" x14ac:dyDescent="0.35">
      <c r="A267" s="1">
        <v>266</v>
      </c>
      <c r="B267" s="1">
        <v>1614</v>
      </c>
      <c r="C267" s="1" t="s">
        <v>52</v>
      </c>
      <c r="D267" s="1" t="s">
        <v>21</v>
      </c>
      <c r="E267" s="2">
        <v>56.309377138945926</v>
      </c>
      <c r="F267" s="2" t="str" cm="1">
        <f t="array" ref="F267">_xlfn.IFS(E267&lt;25,"Under 25",E267&lt;40,"Young Adulthood",E267&lt;60,"Middle Adulthood",E267&gt;=60,"Older Adulthood")</f>
        <v>Middle Adulthood</v>
      </c>
      <c r="G267" s="1" t="s">
        <v>23</v>
      </c>
      <c r="H267" s="1" t="s">
        <v>53</v>
      </c>
      <c r="I267" s="1" t="s">
        <v>53</v>
      </c>
      <c r="J267" s="1" t="s">
        <v>53</v>
      </c>
      <c r="K267" s="1" t="s">
        <v>54</v>
      </c>
      <c r="L267" s="1">
        <v>0.5</v>
      </c>
      <c r="M267" s="1">
        <v>318</v>
      </c>
      <c r="N267" s="1">
        <v>3.32</v>
      </c>
      <c r="O267" s="1">
        <v>52</v>
      </c>
      <c r="P267" s="1">
        <v>613</v>
      </c>
      <c r="Q267" s="1">
        <v>70</v>
      </c>
      <c r="R267" s="1">
        <v>260</v>
      </c>
      <c r="S267" s="1">
        <v>279</v>
      </c>
      <c r="T267" s="1">
        <v>10.199999999999999</v>
      </c>
      <c r="U267" s="1">
        <v>3</v>
      </c>
    </row>
    <row r="268" spans="1:21" x14ac:dyDescent="0.35">
      <c r="A268" s="1">
        <v>267</v>
      </c>
      <c r="B268" s="1">
        <v>179</v>
      </c>
      <c r="C268" s="1" t="s">
        <v>49</v>
      </c>
      <c r="D268" s="1" t="s">
        <v>21</v>
      </c>
      <c r="E268" s="2">
        <v>70.907597535934286</v>
      </c>
      <c r="F268" s="2" t="str" cm="1">
        <f t="array" ref="F268">_xlfn.IFS(E268&lt;25,"Under 25",E268&lt;40,"Young Adulthood",E268&lt;60,"Middle Adulthood",E268&gt;=60,"Older Adulthood")</f>
        <v>Older Adulthood</v>
      </c>
      <c r="G268" s="1" t="s">
        <v>23</v>
      </c>
      <c r="H268" s="1" t="s">
        <v>50</v>
      </c>
      <c r="I268" s="1" t="s">
        <v>50</v>
      </c>
      <c r="J268" s="1" t="s">
        <v>50</v>
      </c>
      <c r="K268" s="1" t="s">
        <v>51</v>
      </c>
      <c r="L268" s="1">
        <v>6.6</v>
      </c>
      <c r="M268" s="1">
        <v>222</v>
      </c>
      <c r="N268" s="1">
        <v>2.33</v>
      </c>
      <c r="O268" s="1">
        <v>138</v>
      </c>
      <c r="P268" s="1">
        <v>620</v>
      </c>
      <c r="Q268" s="1">
        <v>106</v>
      </c>
      <c r="R268" s="1">
        <v>91</v>
      </c>
      <c r="S268" s="1">
        <v>195</v>
      </c>
      <c r="T268" s="1">
        <v>12.1</v>
      </c>
      <c r="U268" s="1">
        <v>4</v>
      </c>
    </row>
    <row r="269" spans="1:21" x14ac:dyDescent="0.35">
      <c r="A269" s="1">
        <v>268</v>
      </c>
      <c r="B269" s="1">
        <v>1191</v>
      </c>
      <c r="C269" s="1" t="s">
        <v>49</v>
      </c>
      <c r="D269" s="1" t="s">
        <v>21</v>
      </c>
      <c r="E269" s="2">
        <v>55.394934976043807</v>
      </c>
      <c r="F269" s="2" t="str" cm="1">
        <f t="array" ref="F269">_xlfn.IFS(E269&lt;25,"Under 25",E269&lt;40,"Young Adulthood",E269&lt;60,"Middle Adulthood",E269&gt;=60,"Older Adulthood")</f>
        <v>Middle Adulthood</v>
      </c>
      <c r="G269" s="1" t="s">
        <v>23</v>
      </c>
      <c r="H269" s="1" t="s">
        <v>50</v>
      </c>
      <c r="I269" s="1" t="s">
        <v>50</v>
      </c>
      <c r="J269" s="1" t="s">
        <v>53</v>
      </c>
      <c r="K269" s="1" t="s">
        <v>55</v>
      </c>
      <c r="L269" s="1">
        <v>6.4</v>
      </c>
      <c r="M269" s="1">
        <v>344</v>
      </c>
      <c r="N269" s="1">
        <v>2.75</v>
      </c>
      <c r="O269" s="1">
        <v>16</v>
      </c>
      <c r="P269" s="1">
        <v>834</v>
      </c>
      <c r="Q269" s="1">
        <v>82</v>
      </c>
      <c r="R269" s="1">
        <v>179</v>
      </c>
      <c r="S269" s="1">
        <v>149</v>
      </c>
      <c r="T269" s="1">
        <v>11</v>
      </c>
      <c r="U269" s="1">
        <v>4</v>
      </c>
    </row>
    <row r="270" spans="1:21" x14ac:dyDescent="0.35">
      <c r="A270" s="1">
        <v>269</v>
      </c>
      <c r="B270" s="1">
        <v>1363</v>
      </c>
      <c r="C270" s="1" t="s">
        <v>52</v>
      </c>
      <c r="D270" s="1" t="s">
        <v>26</v>
      </c>
      <c r="E270" s="2">
        <v>45.08418891170431</v>
      </c>
      <c r="F270" s="2" t="str" cm="1">
        <f t="array" ref="F270">_xlfn.IFS(E270&lt;25,"Under 25",E270&lt;40,"Young Adulthood",E270&lt;60,"Middle Adulthood",E270&gt;=60,"Older Adulthood")</f>
        <v>Middle Adulthood</v>
      </c>
      <c r="G270" s="1" t="s">
        <v>23</v>
      </c>
      <c r="H270" s="1" t="s">
        <v>53</v>
      </c>
      <c r="I270" s="1" t="s">
        <v>53</v>
      </c>
      <c r="J270" s="1" t="s">
        <v>53</v>
      </c>
      <c r="K270" s="1" t="s">
        <v>54</v>
      </c>
      <c r="L270" s="1">
        <v>3.6</v>
      </c>
      <c r="M270" s="1">
        <v>374</v>
      </c>
      <c r="N270" s="1">
        <v>3.5</v>
      </c>
      <c r="O270" s="1">
        <v>143</v>
      </c>
      <c r="P270" s="1">
        <v>1428</v>
      </c>
      <c r="Q270" s="1">
        <v>188</v>
      </c>
      <c r="R270" s="1">
        <v>44</v>
      </c>
      <c r="S270" s="1">
        <v>151</v>
      </c>
      <c r="T270" s="1">
        <v>10.1</v>
      </c>
      <c r="U270" s="1">
        <v>2</v>
      </c>
    </row>
    <row r="271" spans="1:21" x14ac:dyDescent="0.35">
      <c r="A271" s="1">
        <v>270</v>
      </c>
      <c r="B271" s="1">
        <v>1568</v>
      </c>
      <c r="C271" s="1" t="s">
        <v>52</v>
      </c>
      <c r="D271" s="1" t="s">
        <v>21</v>
      </c>
      <c r="E271" s="2">
        <v>26.277891854893909</v>
      </c>
      <c r="F271" s="2" t="str" cm="1">
        <f t="array" ref="F271">_xlfn.IFS(E271&lt;25,"Under 25",E271&lt;40,"Young Adulthood",E271&lt;60,"Middle Adulthood",E271&gt;=60,"Older Adulthood")</f>
        <v>Young Adulthood</v>
      </c>
      <c r="G271" s="1" t="s">
        <v>23</v>
      </c>
      <c r="H271" s="1" t="s">
        <v>53</v>
      </c>
      <c r="I271" s="1" t="s">
        <v>50</v>
      </c>
      <c r="J271" s="1" t="s">
        <v>50</v>
      </c>
      <c r="K271" s="1" t="s">
        <v>54</v>
      </c>
      <c r="L271" s="1">
        <v>1</v>
      </c>
      <c r="M271" s="1">
        <v>448</v>
      </c>
      <c r="N271" s="1">
        <v>3.74</v>
      </c>
      <c r="O271" s="1">
        <v>102</v>
      </c>
      <c r="P271" s="1">
        <v>1128</v>
      </c>
      <c r="Q271" s="1">
        <v>71</v>
      </c>
      <c r="R271" s="1">
        <v>117</v>
      </c>
      <c r="S271" s="1">
        <v>228</v>
      </c>
      <c r="T271" s="1">
        <v>10.199999999999999</v>
      </c>
      <c r="U271" s="1">
        <v>3</v>
      </c>
    </row>
    <row r="272" spans="1:21" x14ac:dyDescent="0.35">
      <c r="A272" s="1">
        <v>271</v>
      </c>
      <c r="B272" s="1">
        <v>1569</v>
      </c>
      <c r="C272" s="1" t="s">
        <v>52</v>
      </c>
      <c r="D272" s="1" t="s">
        <v>26</v>
      </c>
      <c r="E272" s="2">
        <v>50.47227926078029</v>
      </c>
      <c r="F272" s="2" t="str" cm="1">
        <f t="array" ref="F272">_xlfn.IFS(E272&lt;25,"Under 25",E272&lt;40,"Young Adulthood",E272&lt;60,"Middle Adulthood",E272&gt;=60,"Older Adulthood")</f>
        <v>Middle Adulthood</v>
      </c>
      <c r="G272" s="1" t="s">
        <v>23</v>
      </c>
      <c r="H272" s="1" t="s">
        <v>53</v>
      </c>
      <c r="I272" s="1" t="s">
        <v>50</v>
      </c>
      <c r="J272" s="1" t="s">
        <v>53</v>
      </c>
      <c r="K272" s="1" t="s">
        <v>54</v>
      </c>
      <c r="L272" s="1">
        <v>1</v>
      </c>
      <c r="M272" s="1">
        <v>321</v>
      </c>
      <c r="N272" s="1">
        <v>3.5</v>
      </c>
      <c r="O272" s="1">
        <v>94</v>
      </c>
      <c r="P272" s="1">
        <v>955</v>
      </c>
      <c r="Q272" s="1">
        <v>111</v>
      </c>
      <c r="R272" s="1">
        <v>177</v>
      </c>
      <c r="S272" s="1">
        <v>289</v>
      </c>
      <c r="T272" s="1">
        <v>9.6999999999999993</v>
      </c>
      <c r="U272" s="1">
        <v>3</v>
      </c>
    </row>
    <row r="273" spans="1:21" x14ac:dyDescent="0.35">
      <c r="A273" s="1">
        <v>272</v>
      </c>
      <c r="B273" s="1">
        <v>1525</v>
      </c>
      <c r="C273" s="1" t="s">
        <v>52</v>
      </c>
      <c r="D273" s="1" t="s">
        <v>21</v>
      </c>
      <c r="E273" s="2">
        <v>38.398357289527723</v>
      </c>
      <c r="F273" s="2" t="str" cm="1">
        <f t="array" ref="F273">_xlfn.IFS(E273&lt;25,"Under 25",E273&lt;40,"Young Adulthood",E273&lt;60,"Middle Adulthood",E273&gt;=60,"Older Adulthood")</f>
        <v>Young Adulthood</v>
      </c>
      <c r="G273" s="1" t="s">
        <v>23</v>
      </c>
      <c r="H273" s="1" t="s">
        <v>53</v>
      </c>
      <c r="I273" s="1" t="s">
        <v>53</v>
      </c>
      <c r="J273" s="1" t="s">
        <v>53</v>
      </c>
      <c r="K273" s="1" t="s">
        <v>54</v>
      </c>
      <c r="L273" s="1">
        <v>0.5</v>
      </c>
      <c r="M273" s="1">
        <v>226</v>
      </c>
      <c r="N273" s="1">
        <v>2.93</v>
      </c>
      <c r="O273" s="1">
        <v>22</v>
      </c>
      <c r="P273" s="1">
        <v>674</v>
      </c>
      <c r="Q273" s="1">
        <v>58</v>
      </c>
      <c r="R273" s="1">
        <v>85</v>
      </c>
      <c r="S273" s="1">
        <v>153</v>
      </c>
      <c r="T273" s="1">
        <v>9.8000000000000007</v>
      </c>
      <c r="U273" s="1">
        <v>1</v>
      </c>
    </row>
    <row r="274" spans="1:21" x14ac:dyDescent="0.35">
      <c r="A274" s="1">
        <v>273</v>
      </c>
      <c r="B274" s="1">
        <v>1558</v>
      </c>
      <c r="C274" s="1" t="s">
        <v>52</v>
      </c>
      <c r="D274" s="1" t="s">
        <v>26</v>
      </c>
      <c r="E274" s="2">
        <v>47.419575633127998</v>
      </c>
      <c r="F274" s="2" t="str" cm="1">
        <f t="array" ref="F274">_xlfn.IFS(E274&lt;25,"Under 25",E274&lt;40,"Young Adulthood",E274&lt;60,"Middle Adulthood",E274&gt;=60,"Older Adulthood")</f>
        <v>Middle Adulthood</v>
      </c>
      <c r="G274" s="1" t="s">
        <v>23</v>
      </c>
      <c r="H274" s="1" t="s">
        <v>53</v>
      </c>
      <c r="I274" s="1" t="s">
        <v>53</v>
      </c>
      <c r="J274" s="1" t="s">
        <v>50</v>
      </c>
      <c r="K274" s="1" t="s">
        <v>54</v>
      </c>
      <c r="L274" s="1">
        <v>2.2000000000000002</v>
      </c>
      <c r="M274" s="1">
        <v>328</v>
      </c>
      <c r="N274" s="1">
        <v>3.46</v>
      </c>
      <c r="O274" s="1">
        <v>75</v>
      </c>
      <c r="P274" s="1">
        <v>1677</v>
      </c>
      <c r="Q274" s="1">
        <v>87</v>
      </c>
      <c r="R274" s="1">
        <v>116</v>
      </c>
      <c r="S274" s="1">
        <v>202</v>
      </c>
      <c r="T274" s="1">
        <v>9.6</v>
      </c>
      <c r="U274" s="1">
        <v>3</v>
      </c>
    </row>
    <row r="275" spans="1:21" x14ac:dyDescent="0.35">
      <c r="A275" s="1">
        <v>274</v>
      </c>
      <c r="B275" s="1">
        <v>1447</v>
      </c>
      <c r="C275" s="1" t="s">
        <v>56</v>
      </c>
      <c r="D275" s="1" t="s">
        <v>21</v>
      </c>
      <c r="E275" s="2">
        <v>47.980835044490078</v>
      </c>
      <c r="F275" s="2" t="str" cm="1">
        <f t="array" ref="F275">_xlfn.IFS(E275&lt;25,"Under 25",E275&lt;40,"Young Adulthood",E275&lt;60,"Middle Adulthood",E275&gt;=60,"Older Adulthood")</f>
        <v>Middle Adulthood</v>
      </c>
      <c r="G275" s="1" t="s">
        <v>23</v>
      </c>
      <c r="H275" s="1" t="s">
        <v>53</v>
      </c>
      <c r="I275" s="1" t="s">
        <v>53</v>
      </c>
      <c r="J275" s="1" t="s">
        <v>53</v>
      </c>
      <c r="K275" s="1" t="s">
        <v>54</v>
      </c>
      <c r="L275" s="1">
        <v>1.6</v>
      </c>
      <c r="M275" s="1">
        <v>309.5</v>
      </c>
      <c r="N275" s="1">
        <v>3.07</v>
      </c>
      <c r="O275" s="1">
        <v>136</v>
      </c>
      <c r="P275" s="1">
        <v>1995</v>
      </c>
      <c r="Q275" s="1">
        <v>128</v>
      </c>
      <c r="R275" s="1">
        <v>108</v>
      </c>
      <c r="S275" s="1">
        <v>372</v>
      </c>
      <c r="T275" s="1">
        <v>9.6</v>
      </c>
      <c r="U275" s="1">
        <v>4</v>
      </c>
    </row>
    <row r="276" spans="1:21" x14ac:dyDescent="0.35">
      <c r="A276" s="1">
        <v>275</v>
      </c>
      <c r="B276" s="1">
        <v>1349</v>
      </c>
      <c r="C276" s="1" t="s">
        <v>52</v>
      </c>
      <c r="D276" s="1" t="s">
        <v>21</v>
      </c>
      <c r="E276" s="2">
        <v>38.31622176591376</v>
      </c>
      <c r="F276" s="2" t="str" cm="1">
        <f t="array" ref="F276">_xlfn.IFS(E276&lt;25,"Under 25",E276&lt;40,"Young Adulthood",E276&lt;60,"Middle Adulthood",E276&gt;=60,"Older Adulthood")</f>
        <v>Young Adulthood</v>
      </c>
      <c r="G276" s="1" t="s">
        <v>23</v>
      </c>
      <c r="H276" s="1" t="s">
        <v>53</v>
      </c>
      <c r="I276" s="1" t="s">
        <v>53</v>
      </c>
      <c r="J276" s="1" t="s">
        <v>53</v>
      </c>
      <c r="K276" s="1" t="s">
        <v>54</v>
      </c>
      <c r="L276" s="1">
        <v>2.2000000000000002</v>
      </c>
      <c r="M276" s="1">
        <v>572</v>
      </c>
      <c r="N276" s="1">
        <v>3.77</v>
      </c>
      <c r="O276" s="1">
        <v>77</v>
      </c>
      <c r="P276" s="1">
        <v>2520</v>
      </c>
      <c r="Q276" s="1">
        <v>92</v>
      </c>
      <c r="R276" s="1">
        <v>114</v>
      </c>
      <c r="S276" s="1">
        <v>309</v>
      </c>
      <c r="T276" s="1">
        <v>9.5</v>
      </c>
      <c r="U276" s="1">
        <v>4</v>
      </c>
    </row>
    <row r="277" spans="1:21" x14ac:dyDescent="0.35">
      <c r="A277" s="1">
        <v>276</v>
      </c>
      <c r="B277" s="1">
        <v>1481</v>
      </c>
      <c r="C277" s="1" t="s">
        <v>52</v>
      </c>
      <c r="D277" s="1" t="s">
        <v>21</v>
      </c>
      <c r="E277" s="2">
        <v>50.108145106091719</v>
      </c>
      <c r="F277" s="2" t="str" cm="1">
        <f t="array" ref="F277">_xlfn.IFS(E277&lt;25,"Under 25",E277&lt;40,"Young Adulthood",E277&lt;60,"Middle Adulthood",E277&gt;=60,"Older Adulthood")</f>
        <v>Middle Adulthood</v>
      </c>
      <c r="G277" s="1" t="s">
        <v>23</v>
      </c>
      <c r="H277" s="1" t="s">
        <v>53</v>
      </c>
      <c r="I277" s="1" t="s">
        <v>53</v>
      </c>
      <c r="J277" s="1" t="s">
        <v>53</v>
      </c>
      <c r="K277" s="1" t="s">
        <v>54</v>
      </c>
      <c r="L277" s="1">
        <v>1</v>
      </c>
      <c r="M277" s="1">
        <v>219</v>
      </c>
      <c r="N277" s="1">
        <v>3.85</v>
      </c>
      <c r="O277" s="1">
        <v>67</v>
      </c>
      <c r="P277" s="1">
        <v>640</v>
      </c>
      <c r="Q277" s="1">
        <v>145</v>
      </c>
      <c r="R277" s="1">
        <v>108</v>
      </c>
      <c r="S277" s="1">
        <v>95</v>
      </c>
      <c r="T277" s="1">
        <v>10.7</v>
      </c>
      <c r="U277" s="1">
        <v>2</v>
      </c>
    </row>
    <row r="278" spans="1:21" x14ac:dyDescent="0.35">
      <c r="A278" s="1">
        <v>277</v>
      </c>
      <c r="B278" s="1">
        <v>1434</v>
      </c>
      <c r="C278" s="1" t="s">
        <v>52</v>
      </c>
      <c r="D278" s="1" t="s">
        <v>26</v>
      </c>
      <c r="E278" s="2">
        <v>35.088295687885008</v>
      </c>
      <c r="F278" s="2" t="str" cm="1">
        <f t="array" ref="F278">_xlfn.IFS(E278&lt;25,"Under 25",E278&lt;40,"Young Adulthood",E278&lt;60,"Middle Adulthood",E278&gt;=60,"Older Adulthood")</f>
        <v>Young Adulthood</v>
      </c>
      <c r="G278" s="1" t="s">
        <v>23</v>
      </c>
      <c r="H278" s="1" t="s">
        <v>53</v>
      </c>
      <c r="I278" s="1" t="s">
        <v>53</v>
      </c>
      <c r="J278" s="1" t="s">
        <v>53</v>
      </c>
      <c r="K278" s="1" t="s">
        <v>55</v>
      </c>
      <c r="L278" s="1">
        <v>1</v>
      </c>
      <c r="M278" s="1">
        <v>317</v>
      </c>
      <c r="N278" s="1">
        <v>3.56</v>
      </c>
      <c r="O278" s="1">
        <v>44</v>
      </c>
      <c r="P278" s="1">
        <v>1636</v>
      </c>
      <c r="Q278" s="1">
        <v>84</v>
      </c>
      <c r="R278" s="1">
        <v>111</v>
      </c>
      <c r="S278" s="1">
        <v>394</v>
      </c>
      <c r="T278" s="1">
        <v>9.8000000000000007</v>
      </c>
      <c r="U278" s="1">
        <v>3</v>
      </c>
    </row>
    <row r="279" spans="1:21" x14ac:dyDescent="0.35">
      <c r="A279" s="1">
        <v>278</v>
      </c>
      <c r="B279" s="1">
        <v>1420</v>
      </c>
      <c r="C279" s="1" t="s">
        <v>52</v>
      </c>
      <c r="D279" s="1" t="s">
        <v>26</v>
      </c>
      <c r="E279" s="2">
        <v>32.503764544832308</v>
      </c>
      <c r="F279" s="2" t="str" cm="1">
        <f t="array" ref="F279">_xlfn.IFS(E279&lt;25,"Under 25",E279&lt;40,"Young Adulthood",E279&lt;60,"Middle Adulthood",E279&gt;=60,"Older Adulthood")</f>
        <v>Young Adulthood</v>
      </c>
      <c r="G279" s="1" t="s">
        <v>23</v>
      </c>
      <c r="H279" s="1" t="s">
        <v>53</v>
      </c>
      <c r="I279" s="1" t="s">
        <v>53</v>
      </c>
      <c r="J279" s="1" t="s">
        <v>53</v>
      </c>
      <c r="K279" s="1" t="s">
        <v>54</v>
      </c>
      <c r="L279" s="1">
        <v>5.6</v>
      </c>
      <c r="M279" s="1">
        <v>338</v>
      </c>
      <c r="N279" s="1">
        <v>3.7</v>
      </c>
      <c r="O279" s="1">
        <v>130</v>
      </c>
      <c r="P279" s="1">
        <v>2139</v>
      </c>
      <c r="Q279" s="1">
        <v>185</v>
      </c>
      <c r="R279" s="1">
        <v>193</v>
      </c>
      <c r="S279" s="1">
        <v>215</v>
      </c>
      <c r="T279" s="1">
        <v>9.9</v>
      </c>
      <c r="U279" s="1">
        <v>4</v>
      </c>
    </row>
    <row r="280" spans="1:21" x14ac:dyDescent="0.35">
      <c r="A280" s="1">
        <v>279</v>
      </c>
      <c r="B280" s="1">
        <v>1433</v>
      </c>
      <c r="C280" s="1" t="s">
        <v>52</v>
      </c>
      <c r="D280" s="1" t="s">
        <v>26</v>
      </c>
      <c r="E280" s="2">
        <v>56.153319644079396</v>
      </c>
      <c r="F280" s="2" t="str" cm="1">
        <f t="array" ref="F280">_xlfn.IFS(E280&lt;25,"Under 25",E280&lt;40,"Young Adulthood",E280&lt;60,"Middle Adulthood",E280&gt;=60,"Older Adulthood")</f>
        <v>Middle Adulthood</v>
      </c>
      <c r="G280" s="1" t="s">
        <v>23</v>
      </c>
      <c r="H280" s="1" t="s">
        <v>53</v>
      </c>
      <c r="I280" s="1" t="s">
        <v>53</v>
      </c>
      <c r="J280" s="1" t="s">
        <v>53</v>
      </c>
      <c r="K280" s="1" t="s">
        <v>54</v>
      </c>
      <c r="L280" s="1">
        <v>0.5</v>
      </c>
      <c r="M280" s="1">
        <v>198</v>
      </c>
      <c r="N280" s="1">
        <v>3.77</v>
      </c>
      <c r="O280" s="1">
        <v>38</v>
      </c>
      <c r="P280" s="1">
        <v>911</v>
      </c>
      <c r="Q280" s="1">
        <v>57</v>
      </c>
      <c r="R280" s="1">
        <v>56</v>
      </c>
      <c r="S280" s="1">
        <v>280</v>
      </c>
      <c r="T280" s="1">
        <v>9.8000000000000007</v>
      </c>
      <c r="U280" s="1">
        <v>2</v>
      </c>
    </row>
    <row r="281" spans="1:21" x14ac:dyDescent="0.35">
      <c r="A281" s="1">
        <v>280</v>
      </c>
      <c r="B281" s="1">
        <v>1412</v>
      </c>
      <c r="C281" s="1" t="s">
        <v>52</v>
      </c>
      <c r="D281" s="1" t="s">
        <v>21</v>
      </c>
      <c r="E281" s="2">
        <v>46.154688569472967</v>
      </c>
      <c r="F281" s="2" t="str" cm="1">
        <f t="array" ref="F281">_xlfn.IFS(E281&lt;25,"Under 25",E281&lt;40,"Young Adulthood",E281&lt;60,"Middle Adulthood",E281&gt;=60,"Older Adulthood")</f>
        <v>Middle Adulthood</v>
      </c>
      <c r="G281" s="1" t="s">
        <v>23</v>
      </c>
      <c r="H281" s="1" t="s">
        <v>53</v>
      </c>
      <c r="I281" s="1" t="s">
        <v>53</v>
      </c>
      <c r="J281" s="1" t="s">
        <v>53</v>
      </c>
      <c r="K281" s="1" t="s">
        <v>54</v>
      </c>
      <c r="L281" s="1">
        <v>1.6</v>
      </c>
      <c r="M281" s="1">
        <v>325</v>
      </c>
      <c r="N281" s="1">
        <v>3.69</v>
      </c>
      <c r="O281" s="1">
        <v>69</v>
      </c>
      <c r="P281" s="1">
        <v>2583</v>
      </c>
      <c r="Q281" s="1">
        <v>142</v>
      </c>
      <c r="R281" s="1">
        <v>140</v>
      </c>
      <c r="S281" s="1">
        <v>284</v>
      </c>
      <c r="T281" s="1">
        <v>9.6</v>
      </c>
      <c r="U281" s="1">
        <v>3</v>
      </c>
    </row>
    <row r="282" spans="1:21" x14ac:dyDescent="0.35">
      <c r="A282" s="1">
        <v>281</v>
      </c>
      <c r="B282" s="1">
        <v>41</v>
      </c>
      <c r="C282" s="1" t="s">
        <v>49</v>
      </c>
      <c r="D282" s="1" t="s">
        <v>21</v>
      </c>
      <c r="E282" s="2">
        <v>65.883641341546891</v>
      </c>
      <c r="F282" s="2" t="str" cm="1">
        <f t="array" ref="F282">_xlfn.IFS(E282&lt;25,"Under 25",E282&lt;40,"Young Adulthood",E282&lt;60,"Middle Adulthood",E282&gt;=60,"Older Adulthood")</f>
        <v>Older Adulthood</v>
      </c>
      <c r="G282" s="1" t="s">
        <v>23</v>
      </c>
      <c r="H282" s="1" t="s">
        <v>50</v>
      </c>
      <c r="I282" s="1" t="s">
        <v>53</v>
      </c>
      <c r="J282" s="1" t="s">
        <v>53</v>
      </c>
      <c r="K282" s="1" t="s">
        <v>51</v>
      </c>
      <c r="L282" s="1">
        <v>17.899999999999999</v>
      </c>
      <c r="M282" s="1">
        <v>175</v>
      </c>
      <c r="N282" s="1">
        <v>2.1</v>
      </c>
      <c r="O282" s="1">
        <v>220</v>
      </c>
      <c r="P282" s="1">
        <v>705</v>
      </c>
      <c r="Q282" s="1">
        <v>338</v>
      </c>
      <c r="R282" s="1">
        <v>229</v>
      </c>
      <c r="S282" s="1">
        <v>62</v>
      </c>
      <c r="T282" s="1">
        <v>12.9</v>
      </c>
      <c r="U282" s="1">
        <v>4</v>
      </c>
    </row>
    <row r="283" spans="1:21" x14ac:dyDescent="0.35">
      <c r="A283" s="1">
        <v>282</v>
      </c>
      <c r="B283" s="1">
        <v>1455</v>
      </c>
      <c r="C283" s="1" t="s">
        <v>52</v>
      </c>
      <c r="D283" s="1" t="s">
        <v>26</v>
      </c>
      <c r="E283" s="2">
        <v>33.943874058863791</v>
      </c>
      <c r="F283" s="2" t="str" cm="1">
        <f t="array" ref="F283">_xlfn.IFS(E283&lt;25,"Under 25",E283&lt;40,"Young Adulthood",E283&lt;60,"Middle Adulthood",E283&gt;=60,"Older Adulthood")</f>
        <v>Young Adulthood</v>
      </c>
      <c r="G283" s="1" t="s">
        <v>23</v>
      </c>
      <c r="H283" s="1" t="s">
        <v>53</v>
      </c>
      <c r="I283" s="1" t="s">
        <v>50</v>
      </c>
      <c r="J283" s="1" t="s">
        <v>53</v>
      </c>
      <c r="K283" s="1" t="s">
        <v>54</v>
      </c>
      <c r="L283" s="1">
        <v>1.3</v>
      </c>
      <c r="M283" s="1">
        <v>304</v>
      </c>
      <c r="N283" s="1">
        <v>3.52</v>
      </c>
      <c r="O283" s="1">
        <v>97</v>
      </c>
      <c r="P283" s="1">
        <v>1622</v>
      </c>
      <c r="Q283" s="1">
        <v>71</v>
      </c>
      <c r="R283" s="1">
        <v>169</v>
      </c>
      <c r="S283" s="1">
        <v>255</v>
      </c>
      <c r="T283" s="1">
        <v>9.5</v>
      </c>
      <c r="U283" s="1">
        <v>4</v>
      </c>
    </row>
    <row r="284" spans="1:21" x14ac:dyDescent="0.35">
      <c r="A284" s="1">
        <v>283</v>
      </c>
      <c r="B284" s="1">
        <v>1030</v>
      </c>
      <c r="C284" s="1" t="s">
        <v>52</v>
      </c>
      <c r="D284" s="1" t="s">
        <v>26</v>
      </c>
      <c r="E284" s="2">
        <v>62.861054072553046</v>
      </c>
      <c r="F284" s="2" t="str" cm="1">
        <f t="array" ref="F284">_xlfn.IFS(E284&lt;25,"Under 25",E284&lt;40,"Young Adulthood",E284&lt;60,"Middle Adulthood",E284&gt;=60,"Older Adulthood")</f>
        <v>Older Adulthood</v>
      </c>
      <c r="G284" s="1" t="s">
        <v>23</v>
      </c>
      <c r="H284" s="1" t="s">
        <v>53</v>
      </c>
      <c r="I284" s="1" t="s">
        <v>53</v>
      </c>
      <c r="J284" s="1" t="s">
        <v>53</v>
      </c>
      <c r="K284" s="1" t="s">
        <v>54</v>
      </c>
      <c r="L284" s="1">
        <v>1.1000000000000001</v>
      </c>
      <c r="M284" s="1">
        <v>412</v>
      </c>
      <c r="N284" s="1">
        <v>3.99</v>
      </c>
      <c r="O284" s="1">
        <v>103</v>
      </c>
      <c r="P284" s="1">
        <v>1293</v>
      </c>
      <c r="Q284" s="1">
        <v>91</v>
      </c>
      <c r="R284" s="1">
        <v>113</v>
      </c>
      <c r="S284" s="1">
        <v>422</v>
      </c>
      <c r="T284" s="1">
        <v>9.6</v>
      </c>
      <c r="U284" s="1">
        <v>4</v>
      </c>
    </row>
    <row r="285" spans="1:21" x14ac:dyDescent="0.35">
      <c r="A285" s="1">
        <v>284</v>
      </c>
      <c r="B285" s="1">
        <v>1418</v>
      </c>
      <c r="C285" s="1" t="s">
        <v>52</v>
      </c>
      <c r="D285" s="1" t="s">
        <v>26</v>
      </c>
      <c r="E285" s="2">
        <v>48.563997262149215</v>
      </c>
      <c r="F285" s="2" t="str" cm="1">
        <f t="array" ref="F285">_xlfn.IFS(E285&lt;25,"Under 25",E285&lt;40,"Young Adulthood",E285&lt;60,"Middle Adulthood",E285&gt;=60,"Older Adulthood")</f>
        <v>Middle Adulthood</v>
      </c>
      <c r="G285" s="1" t="s">
        <v>23</v>
      </c>
      <c r="H285" s="1" t="s">
        <v>53</v>
      </c>
      <c r="I285" s="1" t="s">
        <v>53</v>
      </c>
      <c r="J285" s="1" t="s">
        <v>53</v>
      </c>
      <c r="K285" s="1" t="s">
        <v>54</v>
      </c>
      <c r="L285" s="1">
        <v>1.3</v>
      </c>
      <c r="M285" s="1">
        <v>291</v>
      </c>
      <c r="N285" s="1">
        <v>3.44</v>
      </c>
      <c r="O285" s="1">
        <v>75</v>
      </c>
      <c r="P285" s="1">
        <v>1082</v>
      </c>
      <c r="Q285" s="1">
        <v>85</v>
      </c>
      <c r="R285" s="1">
        <v>195</v>
      </c>
      <c r="S285" s="1">
        <v>251</v>
      </c>
      <c r="T285" s="1">
        <v>9.5</v>
      </c>
      <c r="U285" s="1">
        <v>3</v>
      </c>
    </row>
    <row r="286" spans="1:21" x14ac:dyDescent="0.35">
      <c r="A286" s="1">
        <v>285</v>
      </c>
      <c r="B286" s="1">
        <v>1401</v>
      </c>
      <c r="C286" s="1" t="s">
        <v>52</v>
      </c>
      <c r="D286" s="1" t="s">
        <v>21</v>
      </c>
      <c r="E286" s="2">
        <v>46.349075975359341</v>
      </c>
      <c r="F286" s="2" t="str" cm="1">
        <f t="array" ref="F286">_xlfn.IFS(E286&lt;25,"Under 25",E286&lt;40,"Young Adulthood",E286&lt;60,"Middle Adulthood",E286&gt;=60,"Older Adulthood")</f>
        <v>Middle Adulthood</v>
      </c>
      <c r="G286" s="1" t="s">
        <v>23</v>
      </c>
      <c r="H286" s="1" t="s">
        <v>53</v>
      </c>
      <c r="I286" s="1" t="s">
        <v>53</v>
      </c>
      <c r="J286" s="1" t="s">
        <v>53</v>
      </c>
      <c r="K286" s="1" t="s">
        <v>54</v>
      </c>
      <c r="L286" s="1">
        <v>0.8</v>
      </c>
      <c r="M286" s="1">
        <v>253</v>
      </c>
      <c r="N286" s="1">
        <v>3.48</v>
      </c>
      <c r="O286" s="1">
        <v>65</v>
      </c>
      <c r="P286" s="1">
        <v>688</v>
      </c>
      <c r="Q286" s="1">
        <v>57</v>
      </c>
      <c r="R286" s="1">
        <v>80</v>
      </c>
      <c r="S286" s="1">
        <v>252</v>
      </c>
      <c r="T286" s="1">
        <v>10</v>
      </c>
      <c r="U286" s="1">
        <v>1</v>
      </c>
    </row>
    <row r="287" spans="1:21" x14ac:dyDescent="0.35">
      <c r="A287" s="1">
        <v>286</v>
      </c>
      <c r="B287" s="1">
        <v>1408</v>
      </c>
      <c r="C287" s="1" t="s">
        <v>52</v>
      </c>
      <c r="D287" s="1" t="s">
        <v>21</v>
      </c>
      <c r="E287" s="2">
        <v>38.852840520191648</v>
      </c>
      <c r="F287" s="2" t="str" cm="1">
        <f t="array" ref="F287">_xlfn.IFS(E287&lt;25,"Under 25",E287&lt;40,"Young Adulthood",E287&lt;60,"Middle Adulthood",E287&gt;=60,"Older Adulthood")</f>
        <v>Young Adulthood</v>
      </c>
      <c r="G287" s="1" t="s">
        <v>23</v>
      </c>
      <c r="H287" s="1" t="s">
        <v>53</v>
      </c>
      <c r="I287" s="1" t="s">
        <v>50</v>
      </c>
      <c r="J287" s="1" t="s">
        <v>50</v>
      </c>
      <c r="K287" s="1" t="s">
        <v>54</v>
      </c>
      <c r="L287" s="1">
        <v>2</v>
      </c>
      <c r="M287" s="1">
        <v>310</v>
      </c>
      <c r="N287" s="1">
        <v>3.36</v>
      </c>
      <c r="O287" s="1">
        <v>70</v>
      </c>
      <c r="P287" s="1">
        <v>1257</v>
      </c>
      <c r="Q287" s="1">
        <v>122</v>
      </c>
      <c r="R287" s="1">
        <v>118</v>
      </c>
      <c r="S287" s="1">
        <v>143</v>
      </c>
      <c r="T287" s="1">
        <v>9.8000000000000007</v>
      </c>
      <c r="U287" s="1">
        <v>3</v>
      </c>
    </row>
    <row r="288" spans="1:21" x14ac:dyDescent="0.35">
      <c r="A288" s="1">
        <v>287</v>
      </c>
      <c r="B288" s="1">
        <v>1234</v>
      </c>
      <c r="C288" s="1" t="s">
        <v>52</v>
      </c>
      <c r="D288" s="1" t="s">
        <v>21</v>
      </c>
      <c r="E288" s="2">
        <v>58.647501711156742</v>
      </c>
      <c r="F288" s="2" t="str" cm="1">
        <f t="array" ref="F288">_xlfn.IFS(E288&lt;25,"Under 25",E288&lt;40,"Young Adulthood",E288&lt;60,"Middle Adulthood",E288&gt;=60,"Older Adulthood")</f>
        <v>Middle Adulthood</v>
      </c>
      <c r="G288" s="1" t="s">
        <v>23</v>
      </c>
      <c r="H288" s="1" t="s">
        <v>53</v>
      </c>
      <c r="I288" s="1" t="s">
        <v>53</v>
      </c>
      <c r="J288" s="1" t="s">
        <v>50</v>
      </c>
      <c r="K288" s="1" t="s">
        <v>54</v>
      </c>
      <c r="L288" s="1">
        <v>6.4</v>
      </c>
      <c r="M288" s="1">
        <v>373</v>
      </c>
      <c r="N288" s="1">
        <v>3.46</v>
      </c>
      <c r="O288" s="1">
        <v>155</v>
      </c>
      <c r="P288" s="1">
        <v>1768</v>
      </c>
      <c r="Q288" s="1">
        <v>120</v>
      </c>
      <c r="R288" s="1">
        <v>151</v>
      </c>
      <c r="S288" s="1">
        <v>258</v>
      </c>
      <c r="T288" s="1">
        <v>10.1</v>
      </c>
      <c r="U288" s="1">
        <v>4</v>
      </c>
    </row>
    <row r="289" spans="1:21" x14ac:dyDescent="0.35">
      <c r="A289" s="1">
        <v>288</v>
      </c>
      <c r="B289" s="1">
        <v>1067</v>
      </c>
      <c r="C289" s="1" t="s">
        <v>56</v>
      </c>
      <c r="D289" s="1" t="s">
        <v>26</v>
      </c>
      <c r="E289" s="2">
        <v>48.936344969199176</v>
      </c>
      <c r="F289" s="2" t="str" cm="1">
        <f t="array" ref="F289">_xlfn.IFS(E289&lt;25,"Under 25",E289&lt;40,"Young Adulthood",E289&lt;60,"Middle Adulthood",E289&gt;=60,"Older Adulthood")</f>
        <v>Middle Adulthood</v>
      </c>
      <c r="G289" s="1" t="s">
        <v>23</v>
      </c>
      <c r="H289" s="1" t="s">
        <v>53</v>
      </c>
      <c r="I289" s="1" t="s">
        <v>50</v>
      </c>
      <c r="J289" s="1" t="s">
        <v>53</v>
      </c>
      <c r="K289" s="1" t="s">
        <v>55</v>
      </c>
      <c r="L289" s="1">
        <v>8.6999999999999993</v>
      </c>
      <c r="M289" s="1">
        <v>310</v>
      </c>
      <c r="N289" s="1">
        <v>3.89</v>
      </c>
      <c r="O289" s="1">
        <v>107</v>
      </c>
      <c r="P289" s="1">
        <v>637</v>
      </c>
      <c r="Q289" s="1">
        <v>117</v>
      </c>
      <c r="R289" s="1">
        <v>242</v>
      </c>
      <c r="S289" s="1">
        <v>298</v>
      </c>
      <c r="T289" s="1">
        <v>9.6</v>
      </c>
      <c r="U289" s="1">
        <v>2</v>
      </c>
    </row>
    <row r="290" spans="1:21" x14ac:dyDescent="0.35">
      <c r="A290" s="1">
        <v>289</v>
      </c>
      <c r="B290" s="1">
        <v>799</v>
      </c>
      <c r="C290" s="1" t="s">
        <v>49</v>
      </c>
      <c r="D290" s="1" t="s">
        <v>21</v>
      </c>
      <c r="E290" s="2">
        <v>67.572895277207394</v>
      </c>
      <c r="F290" s="2" t="str" cm="1">
        <f t="array" ref="F290">_xlfn.IFS(E290&lt;25,"Under 25",E290&lt;40,"Young Adulthood",E290&lt;60,"Middle Adulthood",E290&gt;=60,"Older Adulthood")</f>
        <v>Older Adulthood</v>
      </c>
      <c r="G290" s="1" t="s">
        <v>25</v>
      </c>
      <c r="H290" s="1" t="s">
        <v>53</v>
      </c>
      <c r="I290" s="1" t="s">
        <v>50</v>
      </c>
      <c r="J290" s="1" t="s">
        <v>53</v>
      </c>
      <c r="K290" s="1" t="s">
        <v>55</v>
      </c>
      <c r="L290" s="1">
        <v>4</v>
      </c>
      <c r="M290" s="1">
        <v>416</v>
      </c>
      <c r="N290" s="1">
        <v>3.99</v>
      </c>
      <c r="O290" s="1">
        <v>177</v>
      </c>
      <c r="P290" s="1">
        <v>960</v>
      </c>
      <c r="Q290" s="1">
        <v>86</v>
      </c>
      <c r="R290" s="1">
        <v>242</v>
      </c>
      <c r="S290" s="1">
        <v>269</v>
      </c>
      <c r="T290" s="1">
        <v>9.8000000000000007</v>
      </c>
      <c r="U290" s="1">
        <v>2</v>
      </c>
    </row>
    <row r="291" spans="1:21" x14ac:dyDescent="0.35">
      <c r="A291" s="1">
        <v>290</v>
      </c>
      <c r="B291" s="1">
        <v>1363</v>
      </c>
      <c r="C291" s="1" t="s">
        <v>52</v>
      </c>
      <c r="D291" s="1" t="s">
        <v>21</v>
      </c>
      <c r="E291" s="2">
        <v>65.98494182067077</v>
      </c>
      <c r="F291" s="2" t="str" cm="1">
        <f t="array" ref="F291">_xlfn.IFS(E291&lt;25,"Under 25",E291&lt;40,"Young Adulthood",E291&lt;60,"Middle Adulthood",E291&gt;=60,"Older Adulthood")</f>
        <v>Older Adulthood</v>
      </c>
      <c r="G291" s="1" t="s">
        <v>23</v>
      </c>
      <c r="H291" s="1" t="s">
        <v>53</v>
      </c>
      <c r="I291" s="1" t="s">
        <v>53</v>
      </c>
      <c r="J291" s="1" t="s">
        <v>53</v>
      </c>
      <c r="K291" s="1" t="s">
        <v>54</v>
      </c>
      <c r="L291" s="1">
        <v>1.4</v>
      </c>
      <c r="M291" s="1">
        <v>294</v>
      </c>
      <c r="N291" s="1">
        <v>3.57</v>
      </c>
      <c r="O291" s="1">
        <v>33</v>
      </c>
      <c r="P291" s="1">
        <v>722</v>
      </c>
      <c r="Q291" s="1">
        <v>93</v>
      </c>
      <c r="R291" s="1">
        <v>69</v>
      </c>
      <c r="S291" s="1">
        <v>283</v>
      </c>
      <c r="T291" s="1">
        <v>9.8000000000000007</v>
      </c>
      <c r="U291" s="1">
        <v>3</v>
      </c>
    </row>
    <row r="292" spans="1:21" x14ac:dyDescent="0.35">
      <c r="A292" s="1">
        <v>291</v>
      </c>
      <c r="B292" s="1">
        <v>901</v>
      </c>
      <c r="C292" s="1" t="s">
        <v>56</v>
      </c>
      <c r="D292" s="1" t="s">
        <v>21</v>
      </c>
      <c r="E292" s="2">
        <v>40.90075290896646</v>
      </c>
      <c r="F292" s="2" t="str" cm="1">
        <f t="array" ref="F292">_xlfn.IFS(E292&lt;25,"Under 25",E292&lt;40,"Young Adulthood",E292&lt;60,"Middle Adulthood",E292&gt;=60,"Older Adulthood")</f>
        <v>Middle Adulthood</v>
      </c>
      <c r="G292" s="1" t="s">
        <v>23</v>
      </c>
      <c r="H292" s="1" t="s">
        <v>53</v>
      </c>
      <c r="I292" s="1" t="s">
        <v>53</v>
      </c>
      <c r="J292" s="1" t="s">
        <v>53</v>
      </c>
      <c r="K292" s="1" t="s">
        <v>54</v>
      </c>
      <c r="L292" s="1">
        <v>3.2</v>
      </c>
      <c r="M292" s="1">
        <v>339</v>
      </c>
      <c r="N292" s="1">
        <v>3.18</v>
      </c>
      <c r="O292" s="1">
        <v>123</v>
      </c>
      <c r="P292" s="1">
        <v>3336</v>
      </c>
      <c r="Q292" s="1">
        <v>205</v>
      </c>
      <c r="R292" s="1">
        <v>84</v>
      </c>
      <c r="S292" s="1">
        <v>304</v>
      </c>
      <c r="T292" s="1">
        <v>9.9</v>
      </c>
      <c r="U292" s="1">
        <v>4</v>
      </c>
    </row>
    <row r="293" spans="1:21" x14ac:dyDescent="0.35">
      <c r="A293" s="1">
        <v>292</v>
      </c>
      <c r="B293" s="1">
        <v>1329</v>
      </c>
      <c r="C293" s="1" t="s">
        <v>52</v>
      </c>
      <c r="D293" s="1" t="s">
        <v>26</v>
      </c>
      <c r="E293" s="2">
        <v>50.245037645448321</v>
      </c>
      <c r="F293" s="2" t="str" cm="1">
        <f t="array" ref="F293">_xlfn.IFS(E293&lt;25,"Under 25",E293&lt;40,"Young Adulthood",E293&lt;60,"Middle Adulthood",E293&gt;=60,"Older Adulthood")</f>
        <v>Middle Adulthood</v>
      </c>
      <c r="G293" s="1" t="s">
        <v>25</v>
      </c>
      <c r="H293" s="1" t="s">
        <v>53</v>
      </c>
      <c r="I293" s="1" t="s">
        <v>50</v>
      </c>
      <c r="J293" s="1" t="s">
        <v>53</v>
      </c>
      <c r="K293" s="1" t="s">
        <v>54</v>
      </c>
      <c r="L293" s="1">
        <v>8.6</v>
      </c>
      <c r="M293" s="1">
        <v>546</v>
      </c>
      <c r="N293" s="1">
        <v>3.73</v>
      </c>
      <c r="O293" s="1">
        <v>84</v>
      </c>
      <c r="P293" s="1">
        <v>1070</v>
      </c>
      <c r="Q293" s="1">
        <v>127</v>
      </c>
      <c r="R293" s="1">
        <v>153</v>
      </c>
      <c r="S293" s="1">
        <v>291</v>
      </c>
      <c r="T293" s="1">
        <v>11.2</v>
      </c>
      <c r="U293" s="1">
        <v>3</v>
      </c>
    </row>
    <row r="294" spans="1:21" x14ac:dyDescent="0.35">
      <c r="A294" s="1">
        <v>293</v>
      </c>
      <c r="B294" s="1">
        <v>1320</v>
      </c>
      <c r="C294" s="1" t="s">
        <v>52</v>
      </c>
      <c r="D294" s="1" t="s">
        <v>26</v>
      </c>
      <c r="E294" s="2">
        <v>57.196440793976727</v>
      </c>
      <c r="F294" s="2" t="str" cm="1">
        <f t="array" ref="F294">_xlfn.IFS(E294&lt;25,"Under 25",E294&lt;40,"Young Adulthood",E294&lt;60,"Middle Adulthood",E294&gt;=60,"Older Adulthood")</f>
        <v>Middle Adulthood</v>
      </c>
      <c r="G294" s="1" t="s">
        <v>23</v>
      </c>
      <c r="H294" s="1" t="s">
        <v>53</v>
      </c>
      <c r="I294" s="1" t="s">
        <v>50</v>
      </c>
      <c r="J294" s="1" t="s">
        <v>50</v>
      </c>
      <c r="K294" s="1" t="s">
        <v>51</v>
      </c>
      <c r="L294" s="1">
        <v>8.5</v>
      </c>
      <c r="M294" s="1">
        <v>194</v>
      </c>
      <c r="N294" s="1">
        <v>2.98</v>
      </c>
      <c r="O294" s="1">
        <v>196</v>
      </c>
      <c r="P294" s="1">
        <v>815</v>
      </c>
      <c r="Q294" s="1">
        <v>163</v>
      </c>
      <c r="R294" s="1">
        <v>78</v>
      </c>
      <c r="S294" s="1">
        <v>122</v>
      </c>
      <c r="T294" s="1">
        <v>12.3</v>
      </c>
      <c r="U294" s="1">
        <v>4</v>
      </c>
    </row>
    <row r="295" spans="1:21" x14ac:dyDescent="0.35">
      <c r="A295" s="1">
        <v>294</v>
      </c>
      <c r="B295" s="1">
        <v>1302</v>
      </c>
      <c r="C295" s="1" t="s">
        <v>52</v>
      </c>
      <c r="D295" s="1" t="s">
        <v>21</v>
      </c>
      <c r="E295" s="2">
        <v>60.536618754277889</v>
      </c>
      <c r="F295" s="2" t="str" cm="1">
        <f t="array" ref="F295">_xlfn.IFS(E295&lt;25,"Under 25",E295&lt;40,"Young Adulthood",E295&lt;60,"Middle Adulthood",E295&gt;=60,"Older Adulthood")</f>
        <v>Older Adulthood</v>
      </c>
      <c r="G295" s="1" t="s">
        <v>25</v>
      </c>
      <c r="H295" s="1" t="s">
        <v>53</v>
      </c>
      <c r="I295" s="1" t="s">
        <v>50</v>
      </c>
      <c r="J295" s="1" t="s">
        <v>53</v>
      </c>
      <c r="K295" s="1" t="s">
        <v>54</v>
      </c>
      <c r="L295" s="1">
        <v>6.6</v>
      </c>
      <c r="M295" s="1">
        <v>1000</v>
      </c>
      <c r="N295" s="1">
        <v>3.07</v>
      </c>
      <c r="O295" s="1">
        <v>88</v>
      </c>
      <c r="P295" s="1">
        <v>3150</v>
      </c>
      <c r="Q295" s="1">
        <v>193</v>
      </c>
      <c r="R295" s="1">
        <v>133</v>
      </c>
      <c r="S295" s="1">
        <v>299</v>
      </c>
      <c r="T295" s="1">
        <v>10.9</v>
      </c>
      <c r="U295" s="1">
        <v>4</v>
      </c>
    </row>
    <row r="296" spans="1:21" x14ac:dyDescent="0.35">
      <c r="A296" s="1">
        <v>295</v>
      </c>
      <c r="B296" s="1">
        <v>877</v>
      </c>
      <c r="C296" s="1" t="s">
        <v>56</v>
      </c>
      <c r="D296" s="1" t="s">
        <v>21</v>
      </c>
      <c r="E296" s="2">
        <v>35.351129363449694</v>
      </c>
      <c r="F296" s="2" t="str" cm="1">
        <f t="array" ref="F296">_xlfn.IFS(E296&lt;25,"Under 25",E296&lt;40,"Young Adulthood",E296&lt;60,"Middle Adulthood",E296&gt;=60,"Older Adulthood")</f>
        <v>Young Adulthood</v>
      </c>
      <c r="G296" s="1" t="s">
        <v>25</v>
      </c>
      <c r="H296" s="1" t="s">
        <v>53</v>
      </c>
      <c r="I296" s="1" t="s">
        <v>53</v>
      </c>
      <c r="J296" s="1" t="s">
        <v>53</v>
      </c>
      <c r="K296" s="1" t="s">
        <v>54</v>
      </c>
      <c r="L296" s="1">
        <v>2.4</v>
      </c>
      <c r="M296" s="1">
        <v>646</v>
      </c>
      <c r="N296" s="1">
        <v>3.83</v>
      </c>
      <c r="O296" s="1">
        <v>102</v>
      </c>
      <c r="P296" s="1">
        <v>855</v>
      </c>
      <c r="Q296" s="1">
        <v>127</v>
      </c>
      <c r="R296" s="1">
        <v>194</v>
      </c>
      <c r="S296" s="1">
        <v>306</v>
      </c>
      <c r="T296" s="1">
        <v>10.3</v>
      </c>
      <c r="U296" s="1">
        <v>3</v>
      </c>
    </row>
    <row r="297" spans="1:21" x14ac:dyDescent="0.35">
      <c r="A297" s="1">
        <v>296</v>
      </c>
      <c r="B297" s="1">
        <v>1321</v>
      </c>
      <c r="C297" s="1" t="s">
        <v>52</v>
      </c>
      <c r="D297" s="1" t="s">
        <v>26</v>
      </c>
      <c r="E297" s="2">
        <v>31.381245722108144</v>
      </c>
      <c r="F297" s="2" t="str" cm="1">
        <f t="array" ref="F297">_xlfn.IFS(E297&lt;25,"Under 25",E297&lt;40,"Young Adulthood",E297&lt;60,"Middle Adulthood",E297&gt;=60,"Older Adulthood")</f>
        <v>Young Adulthood</v>
      </c>
      <c r="G297" s="1" t="s">
        <v>23</v>
      </c>
      <c r="H297" s="1" t="s">
        <v>53</v>
      </c>
      <c r="I297" s="1" t="s">
        <v>53</v>
      </c>
      <c r="J297" s="1" t="s">
        <v>53</v>
      </c>
      <c r="K297" s="1" t="s">
        <v>54</v>
      </c>
      <c r="L297" s="1">
        <v>0.8</v>
      </c>
      <c r="M297" s="1">
        <v>328</v>
      </c>
      <c r="N297" s="1">
        <v>3.31</v>
      </c>
      <c r="O297" s="1">
        <v>62</v>
      </c>
      <c r="P297" s="1">
        <v>1105</v>
      </c>
      <c r="Q297" s="1">
        <v>137</v>
      </c>
      <c r="R297" s="1">
        <v>95</v>
      </c>
      <c r="S297" s="1">
        <v>293</v>
      </c>
      <c r="T297" s="1">
        <v>10.9</v>
      </c>
      <c r="U297" s="1">
        <v>4</v>
      </c>
    </row>
    <row r="298" spans="1:21" x14ac:dyDescent="0.35">
      <c r="A298" s="1">
        <v>297</v>
      </c>
      <c r="B298" s="1">
        <v>533</v>
      </c>
      <c r="C298" s="1" t="s">
        <v>56</v>
      </c>
      <c r="D298" s="1" t="s">
        <v>21</v>
      </c>
      <c r="E298" s="2">
        <v>55.986310746064341</v>
      </c>
      <c r="F298" s="2" t="str" cm="1">
        <f t="array" ref="F298">_xlfn.IFS(E298&lt;25,"Under 25",E298&lt;40,"Young Adulthood",E298&lt;60,"Middle Adulthood",E298&gt;=60,"Older Adulthood")</f>
        <v>Middle Adulthood</v>
      </c>
      <c r="G298" s="1" t="s">
        <v>25</v>
      </c>
      <c r="H298" s="1" t="s">
        <v>53</v>
      </c>
      <c r="I298" s="1" t="s">
        <v>50</v>
      </c>
      <c r="J298" s="1" t="s">
        <v>53</v>
      </c>
      <c r="K298" s="1" t="s">
        <v>54</v>
      </c>
      <c r="L298" s="1">
        <v>1.2</v>
      </c>
      <c r="M298" s="1">
        <v>275</v>
      </c>
      <c r="N298" s="1">
        <v>3.43</v>
      </c>
      <c r="O298" s="1">
        <v>100</v>
      </c>
      <c r="P298" s="1">
        <v>1142</v>
      </c>
      <c r="Q298" s="1">
        <v>75</v>
      </c>
      <c r="R298" s="1">
        <v>91</v>
      </c>
      <c r="S298" s="1">
        <v>217</v>
      </c>
      <c r="T298" s="1">
        <v>11.3</v>
      </c>
      <c r="U298" s="1">
        <v>4</v>
      </c>
    </row>
    <row r="299" spans="1:21" x14ac:dyDescent="0.35">
      <c r="A299" s="1">
        <v>298</v>
      </c>
      <c r="B299" s="1">
        <v>1300</v>
      </c>
      <c r="C299" s="1" t="s">
        <v>52</v>
      </c>
      <c r="D299" s="1" t="s">
        <v>26</v>
      </c>
      <c r="E299" s="2">
        <v>52.725530458590008</v>
      </c>
      <c r="F299" s="2" t="str" cm="1">
        <f t="array" ref="F299">_xlfn.IFS(E299&lt;25,"Under 25",E299&lt;40,"Young Adulthood",E299&lt;60,"Middle Adulthood",E299&gt;=60,"Older Adulthood")</f>
        <v>Middle Adulthood</v>
      </c>
      <c r="G299" s="1" t="s">
        <v>23</v>
      </c>
      <c r="H299" s="1" t="s">
        <v>53</v>
      </c>
      <c r="I299" s="1" t="s">
        <v>50</v>
      </c>
      <c r="J299" s="1" t="s">
        <v>53</v>
      </c>
      <c r="K299" s="1" t="s">
        <v>54</v>
      </c>
      <c r="L299" s="1">
        <v>1.1000000000000001</v>
      </c>
      <c r="M299" s="1">
        <v>340</v>
      </c>
      <c r="N299" s="1">
        <v>3.37</v>
      </c>
      <c r="O299" s="1">
        <v>73</v>
      </c>
      <c r="P299" s="1">
        <v>289</v>
      </c>
      <c r="Q299" s="1">
        <v>97</v>
      </c>
      <c r="R299" s="1">
        <v>93</v>
      </c>
      <c r="S299" s="1">
        <v>243</v>
      </c>
      <c r="T299" s="1">
        <v>10.199999999999999</v>
      </c>
      <c r="U299" s="1">
        <v>3</v>
      </c>
    </row>
    <row r="300" spans="1:21" x14ac:dyDescent="0.35">
      <c r="A300" s="1">
        <v>299</v>
      </c>
      <c r="B300" s="1">
        <v>1293</v>
      </c>
      <c r="C300" s="1" t="s">
        <v>52</v>
      </c>
      <c r="D300" s="1" t="s">
        <v>21</v>
      </c>
      <c r="E300" s="2">
        <v>38.091718001368925</v>
      </c>
      <c r="F300" s="2" t="str" cm="1">
        <f t="array" ref="F300">_xlfn.IFS(E300&lt;25,"Under 25",E300&lt;40,"Young Adulthood",E300&lt;60,"Middle Adulthood",E300&gt;=60,"Older Adulthood")</f>
        <v>Young Adulthood</v>
      </c>
      <c r="G300" s="1" t="s">
        <v>23</v>
      </c>
      <c r="H300" s="1" t="s">
        <v>53</v>
      </c>
      <c r="I300" s="1" t="s">
        <v>53</v>
      </c>
      <c r="J300" s="1" t="s">
        <v>53</v>
      </c>
      <c r="K300" s="1" t="s">
        <v>54</v>
      </c>
      <c r="L300" s="1">
        <v>2.4</v>
      </c>
      <c r="M300" s="1">
        <v>342</v>
      </c>
      <c r="N300" s="1">
        <v>3.76</v>
      </c>
      <c r="O300" s="1">
        <v>90</v>
      </c>
      <c r="P300" s="1">
        <v>1653</v>
      </c>
      <c r="Q300" s="1">
        <v>150</v>
      </c>
      <c r="R300" s="1">
        <v>127</v>
      </c>
      <c r="S300" s="1">
        <v>213</v>
      </c>
      <c r="T300" s="1">
        <v>10.8</v>
      </c>
      <c r="U300" s="1">
        <v>3</v>
      </c>
    </row>
    <row r="301" spans="1:21" x14ac:dyDescent="0.35">
      <c r="A301" s="1">
        <v>300</v>
      </c>
      <c r="B301" s="1">
        <v>207</v>
      </c>
      <c r="C301" s="1" t="s">
        <v>49</v>
      </c>
      <c r="D301" s="1" t="s">
        <v>26</v>
      </c>
      <c r="E301" s="2">
        <v>58.171115674195754</v>
      </c>
      <c r="F301" s="2" t="str" cm="1">
        <f t="array" ref="F301">_xlfn.IFS(E301&lt;25,"Under 25",E301&lt;40,"Young Adulthood",E301&lt;60,"Middle Adulthood",E301&gt;=60,"Older Adulthood")</f>
        <v>Middle Adulthood</v>
      </c>
      <c r="G301" s="1" t="s">
        <v>23</v>
      </c>
      <c r="H301" s="1" t="s">
        <v>53</v>
      </c>
      <c r="I301" s="1" t="s">
        <v>50</v>
      </c>
      <c r="J301" s="1" t="s">
        <v>53</v>
      </c>
      <c r="K301" s="1" t="s">
        <v>54</v>
      </c>
      <c r="L301" s="1">
        <v>5.2</v>
      </c>
      <c r="M301" s="1">
        <v>309.5</v>
      </c>
      <c r="N301" s="1">
        <v>2.23</v>
      </c>
      <c r="O301" s="1">
        <v>234</v>
      </c>
      <c r="P301" s="1">
        <v>601</v>
      </c>
      <c r="Q301" s="1">
        <v>135</v>
      </c>
      <c r="R301" s="1">
        <v>108</v>
      </c>
      <c r="S301" s="1">
        <v>206</v>
      </c>
      <c r="T301" s="1">
        <v>12.3</v>
      </c>
      <c r="U301" s="1">
        <v>4</v>
      </c>
    </row>
    <row r="302" spans="1:21" x14ac:dyDescent="0.35">
      <c r="A302" s="1">
        <v>301</v>
      </c>
      <c r="B302" s="1">
        <v>1295</v>
      </c>
      <c r="C302" s="1" t="s">
        <v>52</v>
      </c>
      <c r="D302" s="1" t="s">
        <v>26</v>
      </c>
      <c r="E302" s="2">
        <v>45.210130047912386</v>
      </c>
      <c r="F302" s="2" t="str" cm="1">
        <f t="array" ref="F302">_xlfn.IFS(E302&lt;25,"Under 25",E302&lt;40,"Young Adulthood",E302&lt;60,"Middle Adulthood",E302&gt;=60,"Older Adulthood")</f>
        <v>Middle Adulthood</v>
      </c>
      <c r="G302" s="1" t="s">
        <v>23</v>
      </c>
      <c r="H302" s="1" t="s">
        <v>53</v>
      </c>
      <c r="I302" s="1" t="s">
        <v>53</v>
      </c>
      <c r="J302" s="1" t="s">
        <v>53</v>
      </c>
      <c r="K302" s="1" t="s">
        <v>54</v>
      </c>
      <c r="L302" s="1">
        <v>1</v>
      </c>
      <c r="M302" s="1">
        <v>393</v>
      </c>
      <c r="N302" s="1">
        <v>3.57</v>
      </c>
      <c r="O302" s="1">
        <v>50</v>
      </c>
      <c r="P302" s="1">
        <v>1307</v>
      </c>
      <c r="Q302" s="1">
        <v>74</v>
      </c>
      <c r="R302" s="1">
        <v>103</v>
      </c>
      <c r="S302" s="1">
        <v>295</v>
      </c>
      <c r="T302" s="1">
        <v>10.5</v>
      </c>
      <c r="U302" s="1">
        <v>4</v>
      </c>
    </row>
    <row r="303" spans="1:21" x14ac:dyDescent="0.35">
      <c r="A303" s="1">
        <v>302</v>
      </c>
      <c r="B303" s="1">
        <v>1271</v>
      </c>
      <c r="C303" s="1" t="s">
        <v>52</v>
      </c>
      <c r="D303" s="1" t="s">
        <v>21</v>
      </c>
      <c r="E303" s="2">
        <v>37.798767967145793</v>
      </c>
      <c r="F303" s="2" t="str" cm="1">
        <f t="array" ref="F303">_xlfn.IFS(E303&lt;25,"Under 25",E303&lt;40,"Young Adulthood",E303&lt;60,"Middle Adulthood",E303&gt;=60,"Older Adulthood")</f>
        <v>Young Adulthood</v>
      </c>
      <c r="G303" s="1" t="s">
        <v>23</v>
      </c>
      <c r="H303" s="1" t="s">
        <v>53</v>
      </c>
      <c r="I303" s="1" t="s">
        <v>53</v>
      </c>
      <c r="J303" s="1" t="s">
        <v>53</v>
      </c>
      <c r="K303" s="1" t="s">
        <v>54</v>
      </c>
      <c r="L303" s="1">
        <v>0.7</v>
      </c>
      <c r="M303" s="1">
        <v>335</v>
      </c>
      <c r="N303" s="1">
        <v>3.95</v>
      </c>
      <c r="O303" s="1">
        <v>43</v>
      </c>
      <c r="P303" s="1">
        <v>657</v>
      </c>
      <c r="Q303" s="1">
        <v>52</v>
      </c>
      <c r="R303" s="1">
        <v>104</v>
      </c>
      <c r="S303" s="1">
        <v>268</v>
      </c>
      <c r="T303" s="1">
        <v>10.6</v>
      </c>
      <c r="U303" s="1">
        <v>2</v>
      </c>
    </row>
    <row r="304" spans="1:21" x14ac:dyDescent="0.35">
      <c r="A304" s="1">
        <v>303</v>
      </c>
      <c r="B304" s="1">
        <v>1250</v>
      </c>
      <c r="C304" s="1" t="s">
        <v>52</v>
      </c>
      <c r="D304" s="1" t="s">
        <v>26</v>
      </c>
      <c r="E304" s="2">
        <v>60.659822039698838</v>
      </c>
      <c r="F304" s="2" t="str" cm="1">
        <f t="array" ref="F304">_xlfn.IFS(E304&lt;25,"Under 25",E304&lt;40,"Young Adulthood",E304&lt;60,"Middle Adulthood",E304&gt;=60,"Older Adulthood")</f>
        <v>Older Adulthood</v>
      </c>
      <c r="G304" s="1" t="s">
        <v>23</v>
      </c>
      <c r="H304" s="1" t="s">
        <v>53</v>
      </c>
      <c r="I304" s="1" t="s">
        <v>50</v>
      </c>
      <c r="J304" s="1" t="s">
        <v>50</v>
      </c>
      <c r="K304" s="1" t="s">
        <v>54</v>
      </c>
      <c r="L304" s="1">
        <v>1</v>
      </c>
      <c r="M304" s="1">
        <v>372</v>
      </c>
      <c r="N304" s="1">
        <v>3.25</v>
      </c>
      <c r="O304" s="1">
        <v>108</v>
      </c>
      <c r="P304" s="1">
        <v>1190</v>
      </c>
      <c r="Q304" s="1">
        <v>140</v>
      </c>
      <c r="R304" s="1">
        <v>55</v>
      </c>
      <c r="S304" s="1">
        <v>248</v>
      </c>
      <c r="T304" s="1">
        <v>10.6</v>
      </c>
      <c r="U304" s="1">
        <v>4</v>
      </c>
    </row>
    <row r="305" spans="1:21" x14ac:dyDescent="0.35">
      <c r="A305" s="1">
        <v>304</v>
      </c>
      <c r="B305" s="1">
        <v>1230</v>
      </c>
      <c r="C305" s="1" t="s">
        <v>52</v>
      </c>
      <c r="D305" s="1" t="s">
        <v>21</v>
      </c>
      <c r="E305" s="2">
        <v>35.534565366187543</v>
      </c>
      <c r="F305" s="2" t="str" cm="1">
        <f t="array" ref="F305">_xlfn.IFS(E305&lt;25,"Under 25",E305&lt;40,"Young Adulthood",E305&lt;60,"Middle Adulthood",E305&gt;=60,"Older Adulthood")</f>
        <v>Young Adulthood</v>
      </c>
      <c r="G305" s="1" t="s">
        <v>23</v>
      </c>
      <c r="H305" s="1" t="s">
        <v>53</v>
      </c>
      <c r="I305" s="1" t="s">
        <v>53</v>
      </c>
      <c r="J305" s="1" t="s">
        <v>53</v>
      </c>
      <c r="K305" s="1" t="s">
        <v>54</v>
      </c>
      <c r="L305" s="1">
        <v>0.5</v>
      </c>
      <c r="M305" s="1">
        <v>219</v>
      </c>
      <c r="N305" s="1">
        <v>3.93</v>
      </c>
      <c r="O305" s="1">
        <v>22</v>
      </c>
      <c r="P305" s="1">
        <v>663</v>
      </c>
      <c r="Q305" s="1">
        <v>45</v>
      </c>
      <c r="R305" s="1">
        <v>75</v>
      </c>
      <c r="S305" s="1">
        <v>246</v>
      </c>
      <c r="T305" s="1">
        <v>10.8</v>
      </c>
      <c r="U305" s="1">
        <v>3</v>
      </c>
    </row>
    <row r="306" spans="1:21" x14ac:dyDescent="0.35">
      <c r="A306" s="1">
        <v>305</v>
      </c>
      <c r="B306" s="1">
        <v>1216</v>
      </c>
      <c r="C306" s="1" t="s">
        <v>52</v>
      </c>
      <c r="D306" s="1" t="s">
        <v>26</v>
      </c>
      <c r="E306" s="2">
        <v>43.066392881587952</v>
      </c>
      <c r="F306" s="2" t="str" cm="1">
        <f t="array" ref="F306">_xlfn.IFS(E306&lt;25,"Under 25",E306&lt;40,"Young Adulthood",E306&lt;60,"Middle Adulthood",E306&gt;=60,"Older Adulthood")</f>
        <v>Middle Adulthood</v>
      </c>
      <c r="G306" s="1" t="s">
        <v>23</v>
      </c>
      <c r="H306" s="1" t="s">
        <v>53</v>
      </c>
      <c r="I306" s="1" t="s">
        <v>50</v>
      </c>
      <c r="J306" s="1" t="s">
        <v>50</v>
      </c>
      <c r="K306" s="1" t="s">
        <v>54</v>
      </c>
      <c r="L306" s="1">
        <v>2.9</v>
      </c>
      <c r="M306" s="1">
        <v>426</v>
      </c>
      <c r="N306" s="1">
        <v>3.61</v>
      </c>
      <c r="O306" s="1">
        <v>73</v>
      </c>
      <c r="P306" s="1">
        <v>5184</v>
      </c>
      <c r="Q306" s="1">
        <v>288</v>
      </c>
      <c r="R306" s="1">
        <v>144</v>
      </c>
      <c r="S306" s="1">
        <v>275</v>
      </c>
      <c r="T306" s="1">
        <v>10.6</v>
      </c>
      <c r="U306" s="1">
        <v>3</v>
      </c>
    </row>
    <row r="307" spans="1:21" x14ac:dyDescent="0.35">
      <c r="A307" s="1">
        <v>306</v>
      </c>
      <c r="B307" s="1">
        <v>1216</v>
      </c>
      <c r="C307" s="1" t="s">
        <v>52</v>
      </c>
      <c r="D307" s="1" t="s">
        <v>26</v>
      </c>
      <c r="E307" s="2">
        <v>56.39151266255989</v>
      </c>
      <c r="F307" s="2" t="str" cm="1">
        <f t="array" ref="F307">_xlfn.IFS(E307&lt;25,"Under 25",E307&lt;40,"Young Adulthood",E307&lt;60,"Middle Adulthood",E307&gt;=60,"Older Adulthood")</f>
        <v>Middle Adulthood</v>
      </c>
      <c r="G307" s="1" t="s">
        <v>23</v>
      </c>
      <c r="H307" s="1" t="s">
        <v>53</v>
      </c>
      <c r="I307" s="1" t="s">
        <v>50</v>
      </c>
      <c r="J307" s="1" t="s">
        <v>53</v>
      </c>
      <c r="K307" s="1" t="s">
        <v>54</v>
      </c>
      <c r="L307" s="1">
        <v>0.6</v>
      </c>
      <c r="M307" s="1">
        <v>239</v>
      </c>
      <c r="N307" s="1">
        <v>3.45</v>
      </c>
      <c r="O307" s="1">
        <v>31</v>
      </c>
      <c r="P307" s="1">
        <v>1072</v>
      </c>
      <c r="Q307" s="1">
        <v>55</v>
      </c>
      <c r="R307" s="1">
        <v>64</v>
      </c>
      <c r="S307" s="1">
        <v>227</v>
      </c>
      <c r="T307" s="1">
        <v>10.7</v>
      </c>
      <c r="U307" s="1">
        <v>2</v>
      </c>
    </row>
    <row r="308" spans="1:21" x14ac:dyDescent="0.35">
      <c r="A308" s="1">
        <v>307</v>
      </c>
      <c r="B308" s="1">
        <v>1149</v>
      </c>
      <c r="C308" s="1" t="s">
        <v>52</v>
      </c>
      <c r="D308" s="1" t="s">
        <v>26</v>
      </c>
      <c r="E308" s="2">
        <v>30.573579739904176</v>
      </c>
      <c r="F308" s="2" t="str" cm="1">
        <f t="array" ref="F308">_xlfn.IFS(E308&lt;25,"Under 25",E308&lt;40,"Young Adulthood",E308&lt;60,"Middle Adulthood",E308&gt;=60,"Older Adulthood")</f>
        <v>Young Adulthood</v>
      </c>
      <c r="G308" s="1" t="s">
        <v>23</v>
      </c>
      <c r="H308" s="1" t="s">
        <v>53</v>
      </c>
      <c r="I308" s="1" t="s">
        <v>53</v>
      </c>
      <c r="J308" s="1" t="s">
        <v>53</v>
      </c>
      <c r="K308" s="1" t="s">
        <v>54</v>
      </c>
      <c r="L308" s="1">
        <v>0.8</v>
      </c>
      <c r="M308" s="1">
        <v>273</v>
      </c>
      <c r="N308" s="1">
        <v>3.56</v>
      </c>
      <c r="O308" s="1">
        <v>52</v>
      </c>
      <c r="P308" s="1">
        <v>1282</v>
      </c>
      <c r="Q308" s="1">
        <v>130</v>
      </c>
      <c r="R308" s="1">
        <v>59</v>
      </c>
      <c r="S308" s="1">
        <v>344</v>
      </c>
      <c r="T308" s="1">
        <v>10.5</v>
      </c>
      <c r="U308" s="1">
        <v>2</v>
      </c>
    </row>
    <row r="309" spans="1:21" x14ac:dyDescent="0.35">
      <c r="A309" s="1">
        <v>308</v>
      </c>
      <c r="B309" s="1">
        <v>1153</v>
      </c>
      <c r="C309" s="1" t="s">
        <v>52</v>
      </c>
      <c r="D309" s="1" t="s">
        <v>21</v>
      </c>
      <c r="E309" s="2">
        <v>61.182751540041068</v>
      </c>
      <c r="F309" s="2" t="str" cm="1">
        <f t="array" ref="F309">_xlfn.IFS(E309&lt;25,"Under 25",E309&lt;40,"Young Adulthood",E309&lt;60,"Middle Adulthood",E309&gt;=60,"Older Adulthood")</f>
        <v>Older Adulthood</v>
      </c>
      <c r="G309" s="1" t="s">
        <v>23</v>
      </c>
      <c r="H309" s="1" t="s">
        <v>53</v>
      </c>
      <c r="I309" s="1" t="s">
        <v>50</v>
      </c>
      <c r="J309" s="1" t="s">
        <v>53</v>
      </c>
      <c r="K309" s="1" t="s">
        <v>54</v>
      </c>
      <c r="L309" s="1">
        <v>0.4</v>
      </c>
      <c r="M309" s="1">
        <v>246</v>
      </c>
      <c r="N309" s="1">
        <v>3.58</v>
      </c>
      <c r="O309" s="1">
        <v>24</v>
      </c>
      <c r="P309" s="1">
        <v>797</v>
      </c>
      <c r="Q309" s="1">
        <v>91</v>
      </c>
      <c r="R309" s="1">
        <v>113</v>
      </c>
      <c r="S309" s="1">
        <v>288</v>
      </c>
      <c r="T309" s="1">
        <v>10.4</v>
      </c>
      <c r="U309" s="1">
        <v>2</v>
      </c>
    </row>
    <row r="310" spans="1:21" x14ac:dyDescent="0.35">
      <c r="A310" s="1">
        <v>309</v>
      </c>
      <c r="B310" s="1">
        <v>994</v>
      </c>
      <c r="C310" s="1" t="s">
        <v>52</v>
      </c>
      <c r="D310" s="1" t="s">
        <v>26</v>
      </c>
      <c r="E310" s="2">
        <v>58.299794661190965</v>
      </c>
      <c r="F310" s="2" t="str" cm="1">
        <f t="array" ref="F310">_xlfn.IFS(E310&lt;25,"Under 25",E310&lt;40,"Young Adulthood",E310&lt;60,"Middle Adulthood",E310&gt;=60,"Older Adulthood")</f>
        <v>Middle Adulthood</v>
      </c>
      <c r="G310" s="1" t="s">
        <v>23</v>
      </c>
      <c r="H310" s="1" t="s">
        <v>53</v>
      </c>
      <c r="I310" s="1" t="s">
        <v>53</v>
      </c>
      <c r="J310" s="1" t="s">
        <v>53</v>
      </c>
      <c r="K310" s="1" t="s">
        <v>54</v>
      </c>
      <c r="L310" s="1">
        <v>0.4</v>
      </c>
      <c r="M310" s="1">
        <v>260</v>
      </c>
      <c r="N310" s="1">
        <v>2.75</v>
      </c>
      <c r="O310" s="1">
        <v>41</v>
      </c>
      <c r="P310" s="1">
        <v>1166</v>
      </c>
      <c r="Q310" s="1">
        <v>70</v>
      </c>
      <c r="R310" s="1">
        <v>82</v>
      </c>
      <c r="S310" s="1">
        <v>231</v>
      </c>
      <c r="T310" s="1">
        <v>10.8</v>
      </c>
      <c r="U310" s="1">
        <v>2</v>
      </c>
    </row>
    <row r="311" spans="1:21" x14ac:dyDescent="0.35">
      <c r="A311" s="1">
        <v>310</v>
      </c>
      <c r="B311" s="1">
        <v>939</v>
      </c>
      <c r="C311" s="1" t="s">
        <v>52</v>
      </c>
      <c r="D311" s="1" t="s">
        <v>21</v>
      </c>
      <c r="E311" s="2">
        <v>62.332648870636554</v>
      </c>
      <c r="F311" s="2" t="str" cm="1">
        <f t="array" ref="F311">_xlfn.IFS(E311&lt;25,"Under 25",E311&lt;40,"Young Adulthood",E311&lt;60,"Middle Adulthood",E311&gt;=60,"Older Adulthood")</f>
        <v>Older Adulthood</v>
      </c>
      <c r="G311" s="1" t="s">
        <v>23</v>
      </c>
      <c r="H311" s="1" t="s">
        <v>53</v>
      </c>
      <c r="I311" s="1" t="s">
        <v>53</v>
      </c>
      <c r="J311" s="1" t="s">
        <v>53</v>
      </c>
      <c r="K311" s="1" t="s">
        <v>54</v>
      </c>
      <c r="L311" s="1">
        <v>1.7</v>
      </c>
      <c r="M311" s="1">
        <v>434</v>
      </c>
      <c r="N311" s="1">
        <v>3.35</v>
      </c>
      <c r="O311" s="1">
        <v>39</v>
      </c>
      <c r="P311" s="1">
        <v>1713</v>
      </c>
      <c r="Q311" s="1">
        <v>171</v>
      </c>
      <c r="R311" s="1">
        <v>100</v>
      </c>
      <c r="S311" s="1">
        <v>234</v>
      </c>
      <c r="T311" s="1">
        <v>10.199999999999999</v>
      </c>
      <c r="U311" s="1">
        <v>2</v>
      </c>
    </row>
    <row r="312" spans="1:21" x14ac:dyDescent="0.35">
      <c r="A312" s="1">
        <v>311</v>
      </c>
      <c r="B312" s="1">
        <v>839</v>
      </c>
      <c r="C312" s="1" t="s">
        <v>52</v>
      </c>
      <c r="D312" s="1" t="s">
        <v>21</v>
      </c>
      <c r="E312" s="2">
        <v>37.998631074606436</v>
      </c>
      <c r="F312" s="2" t="str" cm="1">
        <f t="array" ref="F312">_xlfn.IFS(E312&lt;25,"Under 25",E312&lt;40,"Young Adulthood",E312&lt;60,"Middle Adulthood",E312&gt;=60,"Older Adulthood")</f>
        <v>Young Adulthood</v>
      </c>
      <c r="G312" s="1" t="s">
        <v>23</v>
      </c>
      <c r="H312" s="1" t="s">
        <v>53</v>
      </c>
      <c r="I312" s="1" t="s">
        <v>53</v>
      </c>
      <c r="J312" s="1" t="s">
        <v>53</v>
      </c>
      <c r="K312" s="1" t="s">
        <v>54</v>
      </c>
      <c r="L312" s="1">
        <v>2</v>
      </c>
      <c r="M312" s="1">
        <v>247</v>
      </c>
      <c r="N312" s="1">
        <v>3.16</v>
      </c>
      <c r="O312" s="1">
        <v>69</v>
      </c>
      <c r="P312" s="1">
        <v>1050</v>
      </c>
      <c r="Q312" s="1">
        <v>117</v>
      </c>
      <c r="R312" s="1">
        <v>88</v>
      </c>
      <c r="S312" s="1">
        <v>335</v>
      </c>
      <c r="T312" s="1">
        <v>10.5</v>
      </c>
      <c r="U312" s="1">
        <v>2</v>
      </c>
    </row>
    <row r="313" spans="1:21" x14ac:dyDescent="0.35">
      <c r="A313" s="1">
        <v>312</v>
      </c>
      <c r="B313" s="1">
        <v>788</v>
      </c>
      <c r="C313" s="1" t="s">
        <v>52</v>
      </c>
      <c r="D313" s="1" t="s">
        <v>26</v>
      </c>
      <c r="E313" s="2">
        <v>33.152635181382614</v>
      </c>
      <c r="F313" s="2" t="str" cm="1">
        <f t="array" ref="F313">_xlfn.IFS(E313&lt;25,"Under 25",E313&lt;40,"Young Adulthood",E313&lt;60,"Middle Adulthood",E313&gt;=60,"Older Adulthood")</f>
        <v>Young Adulthood</v>
      </c>
      <c r="G313" s="1" t="s">
        <v>23</v>
      </c>
      <c r="H313" s="1" t="s">
        <v>53</v>
      </c>
      <c r="I313" s="1" t="s">
        <v>53</v>
      </c>
      <c r="J313" s="1" t="s">
        <v>50</v>
      </c>
      <c r="K313" s="1" t="s">
        <v>54</v>
      </c>
      <c r="L313" s="1">
        <v>6.4</v>
      </c>
      <c r="M313" s="1">
        <v>576</v>
      </c>
      <c r="N313" s="1">
        <v>3.79</v>
      </c>
      <c r="O313" s="1">
        <v>186</v>
      </c>
      <c r="P313" s="1">
        <v>2115</v>
      </c>
      <c r="Q313" s="1">
        <v>136</v>
      </c>
      <c r="R313" s="1">
        <v>149</v>
      </c>
      <c r="S313" s="1">
        <v>200</v>
      </c>
      <c r="T313" s="1">
        <v>10.8</v>
      </c>
      <c r="U313" s="1">
        <v>2</v>
      </c>
    </row>
    <row r="314" spans="1:21" x14ac:dyDescent="0.35">
      <c r="A314" s="1">
        <v>313</v>
      </c>
      <c r="B314" s="1">
        <v>4062</v>
      </c>
      <c r="C314" s="1" t="s">
        <v>52</v>
      </c>
      <c r="D314" s="1" t="s">
        <v>28</v>
      </c>
      <c r="E314" s="2">
        <v>60</v>
      </c>
      <c r="F314" s="2" t="str" cm="1">
        <f t="array" ref="F314">_xlfn.IFS(E314&lt;25,"Under 25",E314&lt;40,"Young Adulthood",E314&lt;60,"Middle Adulthood",E314&gt;=60,"Older Adulthood")</f>
        <v>Older Adulthood</v>
      </c>
      <c r="G314" s="1" t="s">
        <v>23</v>
      </c>
      <c r="H314" s="1" t="s">
        <v>28</v>
      </c>
      <c r="I314" s="1" t="s">
        <v>28</v>
      </c>
      <c r="J314" s="1" t="s">
        <v>28</v>
      </c>
      <c r="K314" s="1" t="s">
        <v>54</v>
      </c>
      <c r="L314" s="1">
        <v>0.7</v>
      </c>
      <c r="M314" s="1">
        <v>309.5</v>
      </c>
      <c r="N314" s="1">
        <v>3.65</v>
      </c>
      <c r="O314" s="1">
        <v>73</v>
      </c>
      <c r="P314" s="1">
        <v>1259</v>
      </c>
      <c r="Q314" s="1">
        <v>114.7</v>
      </c>
      <c r="R314" s="1">
        <v>108</v>
      </c>
      <c r="S314" s="1">
        <v>378</v>
      </c>
      <c r="T314" s="1">
        <v>11</v>
      </c>
      <c r="U314" s="1">
        <v>3</v>
      </c>
    </row>
    <row r="315" spans="1:21" x14ac:dyDescent="0.35">
      <c r="A315" s="1">
        <v>314</v>
      </c>
      <c r="B315" s="1">
        <v>3561</v>
      </c>
      <c r="C315" s="1" t="s">
        <v>49</v>
      </c>
      <c r="D315" s="1" t="s">
        <v>28</v>
      </c>
      <c r="E315" s="2">
        <v>64.999315537303218</v>
      </c>
      <c r="F315" s="2" t="str" cm="1">
        <f t="array" ref="F315">_xlfn.IFS(E315&lt;25,"Under 25",E315&lt;40,"Young Adulthood",E315&lt;60,"Middle Adulthood",E315&gt;=60,"Older Adulthood")</f>
        <v>Older Adulthood</v>
      </c>
      <c r="G315" s="1" t="s">
        <v>23</v>
      </c>
      <c r="H315" s="1" t="s">
        <v>28</v>
      </c>
      <c r="I315" s="1" t="s">
        <v>28</v>
      </c>
      <c r="J315" s="1" t="s">
        <v>28</v>
      </c>
      <c r="K315" s="1" t="s">
        <v>55</v>
      </c>
      <c r="L315" s="1">
        <v>1.4</v>
      </c>
      <c r="M315" s="1">
        <v>309.5</v>
      </c>
      <c r="N315" s="1">
        <v>3.04</v>
      </c>
      <c r="O315" s="1">
        <v>73</v>
      </c>
      <c r="P315" s="1">
        <v>1259</v>
      </c>
      <c r="Q315" s="1">
        <v>114.7</v>
      </c>
      <c r="R315" s="1">
        <v>108</v>
      </c>
      <c r="S315" s="1">
        <v>331</v>
      </c>
      <c r="T315" s="1">
        <v>12.1</v>
      </c>
      <c r="U315" s="1">
        <v>4</v>
      </c>
    </row>
    <row r="316" spans="1:21" x14ac:dyDescent="0.35">
      <c r="A316" s="1">
        <v>315</v>
      </c>
      <c r="B316" s="1">
        <v>2844</v>
      </c>
      <c r="C316" s="1" t="s">
        <v>52</v>
      </c>
      <c r="D316" s="1" t="s">
        <v>28</v>
      </c>
      <c r="E316" s="2">
        <v>54.001368925393564</v>
      </c>
      <c r="F316" s="2" t="str" cm="1">
        <f t="array" ref="F316">_xlfn.IFS(E316&lt;25,"Under 25",E316&lt;40,"Young Adulthood",E316&lt;60,"Middle Adulthood",E316&gt;=60,"Older Adulthood")</f>
        <v>Middle Adulthood</v>
      </c>
      <c r="G316" s="1" t="s">
        <v>23</v>
      </c>
      <c r="H316" s="1" t="s">
        <v>28</v>
      </c>
      <c r="I316" s="1" t="s">
        <v>28</v>
      </c>
      <c r="J316" s="1" t="s">
        <v>28</v>
      </c>
      <c r="K316" s="1" t="s">
        <v>54</v>
      </c>
      <c r="L316" s="1">
        <v>0.7</v>
      </c>
      <c r="M316" s="1">
        <v>309.5</v>
      </c>
      <c r="N316" s="1">
        <v>4.03</v>
      </c>
      <c r="O316" s="1">
        <v>73</v>
      </c>
      <c r="P316" s="1">
        <v>1259</v>
      </c>
      <c r="Q316" s="1">
        <v>114.7</v>
      </c>
      <c r="R316" s="1">
        <v>108</v>
      </c>
      <c r="S316" s="1">
        <v>226</v>
      </c>
      <c r="T316" s="1">
        <v>9.8000000000000007</v>
      </c>
      <c r="U316" s="1">
        <v>4</v>
      </c>
    </row>
    <row r="317" spans="1:21" x14ac:dyDescent="0.35">
      <c r="A317" s="1">
        <v>316</v>
      </c>
      <c r="B317" s="1">
        <v>2071</v>
      </c>
      <c r="C317" s="1" t="s">
        <v>49</v>
      </c>
      <c r="D317" s="1" t="s">
        <v>28</v>
      </c>
      <c r="E317" s="2">
        <v>75.000684462696782</v>
      </c>
      <c r="F317" s="2" t="str" cm="1">
        <f t="array" ref="F317">_xlfn.IFS(E317&lt;25,"Under 25",E317&lt;40,"Young Adulthood",E317&lt;60,"Middle Adulthood",E317&gt;=60,"Older Adulthood")</f>
        <v>Older Adulthood</v>
      </c>
      <c r="G317" s="1" t="s">
        <v>23</v>
      </c>
      <c r="H317" s="1" t="s">
        <v>28</v>
      </c>
      <c r="I317" s="1" t="s">
        <v>28</v>
      </c>
      <c r="J317" s="1" t="s">
        <v>28</v>
      </c>
      <c r="K317" s="1" t="s">
        <v>55</v>
      </c>
      <c r="L317" s="1">
        <v>0.7</v>
      </c>
      <c r="M317" s="1">
        <v>309.5</v>
      </c>
      <c r="N317" s="1">
        <v>3.96</v>
      </c>
      <c r="O317" s="1">
        <v>73</v>
      </c>
      <c r="P317" s="1">
        <v>1259</v>
      </c>
      <c r="Q317" s="1">
        <v>114.7</v>
      </c>
      <c r="R317" s="1">
        <v>108</v>
      </c>
      <c r="S317" s="1">
        <v>251</v>
      </c>
      <c r="T317" s="1">
        <v>11.3</v>
      </c>
      <c r="U317" s="1">
        <v>4</v>
      </c>
    </row>
    <row r="318" spans="1:21" x14ac:dyDescent="0.35">
      <c r="A318" s="1">
        <v>317</v>
      </c>
      <c r="B318" s="1">
        <v>3030</v>
      </c>
      <c r="C318" s="1" t="s">
        <v>52</v>
      </c>
      <c r="D318" s="1" t="s">
        <v>28</v>
      </c>
      <c r="E318" s="2">
        <v>62.001368925393564</v>
      </c>
      <c r="F318" s="2" t="str" cm="1">
        <f t="array" ref="F318">_xlfn.IFS(E318&lt;25,"Under 25",E318&lt;40,"Young Adulthood",E318&lt;60,"Middle Adulthood",E318&gt;=60,"Older Adulthood")</f>
        <v>Older Adulthood</v>
      </c>
      <c r="G318" s="1" t="s">
        <v>23</v>
      </c>
      <c r="H318" s="1" t="s">
        <v>28</v>
      </c>
      <c r="I318" s="1" t="s">
        <v>28</v>
      </c>
      <c r="J318" s="1" t="s">
        <v>28</v>
      </c>
      <c r="K318" s="1" t="s">
        <v>54</v>
      </c>
      <c r="L318" s="1">
        <v>0.8</v>
      </c>
      <c r="M318" s="1">
        <v>309.5</v>
      </c>
      <c r="N318" s="1">
        <v>2.48</v>
      </c>
      <c r="O318" s="1">
        <v>73</v>
      </c>
      <c r="P318" s="1">
        <v>1259</v>
      </c>
      <c r="Q318" s="1">
        <v>114.7</v>
      </c>
      <c r="R318" s="1">
        <v>108</v>
      </c>
      <c r="S318" s="1">
        <v>273</v>
      </c>
      <c r="T318" s="1">
        <v>10</v>
      </c>
      <c r="U318" s="1">
        <v>3</v>
      </c>
    </row>
    <row r="319" spans="1:21" x14ac:dyDescent="0.35">
      <c r="A319" s="1">
        <v>318</v>
      </c>
      <c r="B319" s="1">
        <v>1680</v>
      </c>
      <c r="C319" s="1" t="s">
        <v>52</v>
      </c>
      <c r="D319" s="1" t="s">
        <v>28</v>
      </c>
      <c r="E319" s="2">
        <v>43.000684462696782</v>
      </c>
      <c r="F319" s="2" t="str" cm="1">
        <f t="array" ref="F319">_xlfn.IFS(E319&lt;25,"Under 25",E319&lt;40,"Young Adulthood",E319&lt;60,"Middle Adulthood",E319&gt;=60,"Older Adulthood")</f>
        <v>Middle Adulthood</v>
      </c>
      <c r="G319" s="1" t="s">
        <v>23</v>
      </c>
      <c r="H319" s="1" t="s">
        <v>28</v>
      </c>
      <c r="I319" s="1" t="s">
        <v>28</v>
      </c>
      <c r="J319" s="1" t="s">
        <v>28</v>
      </c>
      <c r="K319" s="1" t="s">
        <v>54</v>
      </c>
      <c r="L319" s="1">
        <v>0.7</v>
      </c>
      <c r="M319" s="1">
        <v>309.5</v>
      </c>
      <c r="N319" s="1">
        <v>3.68</v>
      </c>
      <c r="O319" s="1">
        <v>73</v>
      </c>
      <c r="P319" s="1">
        <v>1259</v>
      </c>
      <c r="Q319" s="1">
        <v>114.7</v>
      </c>
      <c r="R319" s="1">
        <v>108</v>
      </c>
      <c r="S319" s="1">
        <v>306</v>
      </c>
      <c r="T319" s="1">
        <v>9.5</v>
      </c>
      <c r="U319" s="1">
        <v>2</v>
      </c>
    </row>
    <row r="320" spans="1:21" x14ac:dyDescent="0.35">
      <c r="A320" s="1">
        <v>319</v>
      </c>
      <c r="B320" s="1">
        <v>41</v>
      </c>
      <c r="C320" s="1" t="s">
        <v>49</v>
      </c>
      <c r="D320" s="1" t="s">
        <v>28</v>
      </c>
      <c r="E320" s="2">
        <v>46.001368925393564</v>
      </c>
      <c r="F320" s="2" t="str" cm="1">
        <f t="array" ref="F320">_xlfn.IFS(E320&lt;25,"Under 25",E320&lt;40,"Young Adulthood",E320&lt;60,"Middle Adulthood",E320&gt;=60,"Older Adulthood")</f>
        <v>Middle Adulthood</v>
      </c>
      <c r="G320" s="1" t="s">
        <v>23</v>
      </c>
      <c r="H320" s="1" t="s">
        <v>28</v>
      </c>
      <c r="I320" s="1" t="s">
        <v>28</v>
      </c>
      <c r="J320" s="1" t="s">
        <v>28</v>
      </c>
      <c r="K320" s="1" t="s">
        <v>54</v>
      </c>
      <c r="L320" s="1">
        <v>5</v>
      </c>
      <c r="M320" s="1">
        <v>309.5</v>
      </c>
      <c r="N320" s="1">
        <v>2.93</v>
      </c>
      <c r="O320" s="1">
        <v>73</v>
      </c>
      <c r="P320" s="1">
        <v>1259</v>
      </c>
      <c r="Q320" s="1">
        <v>114.7</v>
      </c>
      <c r="R320" s="1">
        <v>108</v>
      </c>
      <c r="S320" s="1">
        <v>260</v>
      </c>
      <c r="T320" s="1">
        <v>10.4</v>
      </c>
      <c r="U320" s="1">
        <v>3</v>
      </c>
    </row>
    <row r="321" spans="1:21" x14ac:dyDescent="0.35">
      <c r="A321" s="1">
        <v>320</v>
      </c>
      <c r="B321" s="1">
        <v>2403</v>
      </c>
      <c r="C321" s="1" t="s">
        <v>52</v>
      </c>
      <c r="D321" s="1" t="s">
        <v>28</v>
      </c>
      <c r="E321" s="2">
        <v>44</v>
      </c>
      <c r="F321" s="2" t="str" cm="1">
        <f t="array" ref="F321">_xlfn.IFS(E321&lt;25,"Under 25",E321&lt;40,"Young Adulthood",E321&lt;60,"Middle Adulthood",E321&gt;=60,"Older Adulthood")</f>
        <v>Middle Adulthood</v>
      </c>
      <c r="G321" s="1" t="s">
        <v>23</v>
      </c>
      <c r="H321" s="1" t="s">
        <v>28</v>
      </c>
      <c r="I321" s="1" t="s">
        <v>28</v>
      </c>
      <c r="J321" s="1" t="s">
        <v>28</v>
      </c>
      <c r="K321" s="1" t="s">
        <v>55</v>
      </c>
      <c r="L321" s="1">
        <v>0.4</v>
      </c>
      <c r="M321" s="1">
        <v>309.5</v>
      </c>
      <c r="N321" s="1">
        <v>3.81</v>
      </c>
      <c r="O321" s="1">
        <v>73</v>
      </c>
      <c r="P321" s="1">
        <v>1259</v>
      </c>
      <c r="Q321" s="1">
        <v>114.7</v>
      </c>
      <c r="R321" s="1">
        <v>108</v>
      </c>
      <c r="S321" s="1">
        <v>226</v>
      </c>
      <c r="T321" s="1">
        <v>10.5</v>
      </c>
      <c r="U321" s="1">
        <v>3</v>
      </c>
    </row>
    <row r="322" spans="1:21" x14ac:dyDescent="0.35">
      <c r="A322" s="1">
        <v>321</v>
      </c>
      <c r="B322" s="1">
        <v>1170</v>
      </c>
      <c r="C322" s="1" t="s">
        <v>52</v>
      </c>
      <c r="D322" s="1" t="s">
        <v>28</v>
      </c>
      <c r="E322" s="2">
        <v>60.999315537303218</v>
      </c>
      <c r="F322" s="2" t="str" cm="1">
        <f t="array" ref="F322">_xlfn.IFS(E322&lt;25,"Under 25",E322&lt;40,"Young Adulthood",E322&lt;60,"Middle Adulthood",E322&gt;=60,"Older Adulthood")</f>
        <v>Older Adulthood</v>
      </c>
      <c r="G322" s="1" t="s">
        <v>25</v>
      </c>
      <c r="H322" s="1" t="s">
        <v>28</v>
      </c>
      <c r="I322" s="1" t="s">
        <v>28</v>
      </c>
      <c r="J322" s="1" t="s">
        <v>28</v>
      </c>
      <c r="K322" s="1" t="s">
        <v>55</v>
      </c>
      <c r="L322" s="1">
        <v>1.3</v>
      </c>
      <c r="M322" s="1">
        <v>309.5</v>
      </c>
      <c r="N322" s="1">
        <v>3.41</v>
      </c>
      <c r="O322" s="1">
        <v>73</v>
      </c>
      <c r="P322" s="1">
        <v>1259</v>
      </c>
      <c r="Q322" s="1">
        <v>114.7</v>
      </c>
      <c r="R322" s="1">
        <v>108</v>
      </c>
      <c r="S322" s="1">
        <v>259</v>
      </c>
      <c r="T322" s="1">
        <v>10.9</v>
      </c>
      <c r="U322" s="1">
        <v>4</v>
      </c>
    </row>
    <row r="323" spans="1:21" x14ac:dyDescent="0.35">
      <c r="A323" s="1">
        <v>322</v>
      </c>
      <c r="B323" s="1">
        <v>2011</v>
      </c>
      <c r="C323" s="1" t="s">
        <v>49</v>
      </c>
      <c r="D323" s="1" t="s">
        <v>28</v>
      </c>
      <c r="E323" s="2">
        <v>64</v>
      </c>
      <c r="F323" s="2" t="str" cm="1">
        <f t="array" ref="F323">_xlfn.IFS(E323&lt;25,"Under 25",E323&lt;40,"Young Adulthood",E323&lt;60,"Middle Adulthood",E323&gt;=60,"Older Adulthood")</f>
        <v>Older Adulthood</v>
      </c>
      <c r="G323" s="1" t="s">
        <v>23</v>
      </c>
      <c r="H323" s="1" t="s">
        <v>28</v>
      </c>
      <c r="I323" s="1" t="s">
        <v>28</v>
      </c>
      <c r="J323" s="1" t="s">
        <v>28</v>
      </c>
      <c r="K323" s="1" t="s">
        <v>54</v>
      </c>
      <c r="L323" s="1">
        <v>1.1000000000000001</v>
      </c>
      <c r="M323" s="1">
        <v>309.5</v>
      </c>
      <c r="N323" s="1">
        <v>3.69</v>
      </c>
      <c r="O323" s="1">
        <v>73</v>
      </c>
      <c r="P323" s="1">
        <v>1259</v>
      </c>
      <c r="Q323" s="1">
        <v>114.7</v>
      </c>
      <c r="R323" s="1">
        <v>108</v>
      </c>
      <c r="S323" s="1">
        <v>139</v>
      </c>
      <c r="T323" s="1">
        <v>10.5</v>
      </c>
      <c r="U323" s="1">
        <v>3</v>
      </c>
    </row>
    <row r="324" spans="1:21" x14ac:dyDescent="0.35">
      <c r="A324" s="1">
        <v>323</v>
      </c>
      <c r="B324" s="1">
        <v>3523</v>
      </c>
      <c r="C324" s="1" t="s">
        <v>52</v>
      </c>
      <c r="D324" s="1" t="s">
        <v>28</v>
      </c>
      <c r="E324" s="2">
        <v>40</v>
      </c>
      <c r="F324" s="2" t="str" cm="1">
        <f t="array" ref="F324">_xlfn.IFS(E324&lt;25,"Under 25",E324&lt;40,"Young Adulthood",E324&lt;60,"Middle Adulthood",E324&gt;=60,"Older Adulthood")</f>
        <v>Middle Adulthood</v>
      </c>
      <c r="G324" s="1" t="s">
        <v>23</v>
      </c>
      <c r="H324" s="1" t="s">
        <v>28</v>
      </c>
      <c r="I324" s="1" t="s">
        <v>28</v>
      </c>
      <c r="J324" s="1" t="s">
        <v>28</v>
      </c>
      <c r="K324" s="1" t="s">
        <v>54</v>
      </c>
      <c r="L324" s="1">
        <v>0.6</v>
      </c>
      <c r="M324" s="1">
        <v>309.5</v>
      </c>
      <c r="N324" s="1">
        <v>4.04</v>
      </c>
      <c r="O324" s="1">
        <v>73</v>
      </c>
      <c r="P324" s="1">
        <v>1259</v>
      </c>
      <c r="Q324" s="1">
        <v>114.7</v>
      </c>
      <c r="R324" s="1">
        <v>108</v>
      </c>
      <c r="S324" s="1">
        <v>130</v>
      </c>
      <c r="T324" s="1">
        <v>11.2</v>
      </c>
      <c r="U324" s="1">
        <v>2</v>
      </c>
    </row>
    <row r="325" spans="1:21" x14ac:dyDescent="0.35">
      <c r="A325" s="1">
        <v>324</v>
      </c>
      <c r="B325" s="1">
        <v>3468</v>
      </c>
      <c r="C325" s="1" t="s">
        <v>52</v>
      </c>
      <c r="D325" s="1" t="s">
        <v>28</v>
      </c>
      <c r="E325" s="2">
        <v>63.000684462696782</v>
      </c>
      <c r="F325" s="2" t="str" cm="1">
        <f t="array" ref="F325">_xlfn.IFS(E325&lt;25,"Under 25",E325&lt;40,"Young Adulthood",E325&lt;60,"Middle Adulthood",E325&gt;=60,"Older Adulthood")</f>
        <v>Older Adulthood</v>
      </c>
      <c r="G325" s="1" t="s">
        <v>23</v>
      </c>
      <c r="H325" s="1" t="s">
        <v>28</v>
      </c>
      <c r="I325" s="1" t="s">
        <v>28</v>
      </c>
      <c r="J325" s="1" t="s">
        <v>28</v>
      </c>
      <c r="K325" s="1" t="s">
        <v>54</v>
      </c>
      <c r="L325" s="1">
        <v>0.6</v>
      </c>
      <c r="M325" s="1">
        <v>309.5</v>
      </c>
      <c r="N325" s="1">
        <v>3.94</v>
      </c>
      <c r="O325" s="1">
        <v>73</v>
      </c>
      <c r="P325" s="1">
        <v>1259</v>
      </c>
      <c r="Q325" s="1">
        <v>114.7</v>
      </c>
      <c r="R325" s="1">
        <v>108</v>
      </c>
      <c r="S325" s="1">
        <v>234</v>
      </c>
      <c r="T325" s="1">
        <v>11.5</v>
      </c>
      <c r="U325" s="1">
        <v>2</v>
      </c>
    </row>
    <row r="326" spans="1:21" x14ac:dyDescent="0.35">
      <c r="A326" s="1">
        <v>325</v>
      </c>
      <c r="B326" s="1">
        <v>4795</v>
      </c>
      <c r="C326" s="1" t="s">
        <v>52</v>
      </c>
      <c r="D326" s="1" t="s">
        <v>28</v>
      </c>
      <c r="E326" s="2">
        <v>34.001368925393564</v>
      </c>
      <c r="F326" s="2" t="str" cm="1">
        <f t="array" ref="F326">_xlfn.IFS(E326&lt;25,"Under 25",E326&lt;40,"Young Adulthood",E326&lt;60,"Middle Adulthood",E326&gt;=60,"Older Adulthood")</f>
        <v>Young Adulthood</v>
      </c>
      <c r="G326" s="1" t="s">
        <v>23</v>
      </c>
      <c r="H326" s="1" t="s">
        <v>28</v>
      </c>
      <c r="I326" s="1" t="s">
        <v>28</v>
      </c>
      <c r="J326" s="1" t="s">
        <v>28</v>
      </c>
      <c r="K326" s="1" t="s">
        <v>54</v>
      </c>
      <c r="L326" s="1">
        <v>1.8</v>
      </c>
      <c r="M326" s="1">
        <v>309.5</v>
      </c>
      <c r="N326" s="1">
        <v>3.24</v>
      </c>
      <c r="O326" s="1">
        <v>73</v>
      </c>
      <c r="P326" s="1">
        <v>1259</v>
      </c>
      <c r="Q326" s="1">
        <v>114.7</v>
      </c>
      <c r="R326" s="1">
        <v>108</v>
      </c>
      <c r="S326" s="1">
        <v>251</v>
      </c>
      <c r="T326" s="1">
        <v>18</v>
      </c>
      <c r="U326" s="1">
        <v>2</v>
      </c>
    </row>
    <row r="327" spans="1:21" x14ac:dyDescent="0.35">
      <c r="A327" s="1">
        <v>326</v>
      </c>
      <c r="B327" s="1">
        <v>1236</v>
      </c>
      <c r="C327" s="1" t="s">
        <v>52</v>
      </c>
      <c r="D327" s="1" t="s">
        <v>28</v>
      </c>
      <c r="E327" s="2">
        <v>52</v>
      </c>
      <c r="F327" s="2" t="str" cm="1">
        <f t="array" ref="F327">_xlfn.IFS(E327&lt;25,"Under 25",E327&lt;40,"Young Adulthood",E327&lt;60,"Middle Adulthood",E327&gt;=60,"Older Adulthood")</f>
        <v>Middle Adulthood</v>
      </c>
      <c r="G327" s="1" t="s">
        <v>23</v>
      </c>
      <c r="H327" s="1" t="s">
        <v>28</v>
      </c>
      <c r="I327" s="1" t="s">
        <v>28</v>
      </c>
      <c r="J327" s="1" t="s">
        <v>28</v>
      </c>
      <c r="K327" s="1" t="s">
        <v>54</v>
      </c>
      <c r="L327" s="1">
        <v>1.5</v>
      </c>
      <c r="M327" s="1">
        <v>309.5</v>
      </c>
      <c r="N327" s="1">
        <v>3.42</v>
      </c>
      <c r="O327" s="1">
        <v>73</v>
      </c>
      <c r="P327" s="1">
        <v>1259</v>
      </c>
      <c r="Q327" s="1">
        <v>114.7</v>
      </c>
      <c r="R327" s="1">
        <v>108</v>
      </c>
      <c r="S327" s="1">
        <v>246</v>
      </c>
      <c r="T327" s="1">
        <v>10.3</v>
      </c>
      <c r="U327" s="1">
        <v>3</v>
      </c>
    </row>
    <row r="328" spans="1:21" x14ac:dyDescent="0.35">
      <c r="A328" s="1">
        <v>327</v>
      </c>
      <c r="B328" s="1">
        <v>4214</v>
      </c>
      <c r="C328" s="1" t="s">
        <v>52</v>
      </c>
      <c r="D328" s="1" t="s">
        <v>28</v>
      </c>
      <c r="E328" s="2">
        <v>48.999315537303218</v>
      </c>
      <c r="F328" s="2" t="str" cm="1">
        <f t="array" ref="F328">_xlfn.IFS(E328&lt;25,"Under 25",E328&lt;40,"Young Adulthood",E328&lt;60,"Middle Adulthood",E328&gt;=60,"Older Adulthood")</f>
        <v>Middle Adulthood</v>
      </c>
      <c r="G328" s="1" t="s">
        <v>23</v>
      </c>
      <c r="H328" s="1" t="s">
        <v>28</v>
      </c>
      <c r="I328" s="1" t="s">
        <v>28</v>
      </c>
      <c r="J328" s="1" t="s">
        <v>28</v>
      </c>
      <c r="K328" s="1" t="s">
        <v>54</v>
      </c>
      <c r="L328" s="1">
        <v>1.2</v>
      </c>
      <c r="M328" s="1">
        <v>309.5</v>
      </c>
      <c r="N328" s="1">
        <v>3.99</v>
      </c>
      <c r="O328" s="1">
        <v>73</v>
      </c>
      <c r="P328" s="1">
        <v>1259</v>
      </c>
      <c r="Q328" s="1">
        <v>114.7</v>
      </c>
      <c r="R328" s="1">
        <v>108</v>
      </c>
      <c r="S328" s="1">
        <v>251</v>
      </c>
      <c r="T328" s="1">
        <v>11.2</v>
      </c>
      <c r="U328" s="1">
        <v>2</v>
      </c>
    </row>
    <row r="329" spans="1:21" x14ac:dyDescent="0.35">
      <c r="A329" s="1">
        <v>328</v>
      </c>
      <c r="B329" s="1">
        <v>2111</v>
      </c>
      <c r="C329" s="1" t="s">
        <v>49</v>
      </c>
      <c r="D329" s="1" t="s">
        <v>28</v>
      </c>
      <c r="E329" s="2">
        <v>54.001368925393564</v>
      </c>
      <c r="F329" s="2" t="str" cm="1">
        <f t="array" ref="F329">_xlfn.IFS(E329&lt;25,"Under 25",E329&lt;40,"Young Adulthood",E329&lt;60,"Middle Adulthood",E329&gt;=60,"Older Adulthood")</f>
        <v>Middle Adulthood</v>
      </c>
      <c r="G329" s="1" t="s">
        <v>23</v>
      </c>
      <c r="H329" s="1" t="s">
        <v>28</v>
      </c>
      <c r="I329" s="1" t="s">
        <v>28</v>
      </c>
      <c r="J329" s="1" t="s">
        <v>28</v>
      </c>
      <c r="K329" s="1" t="s">
        <v>54</v>
      </c>
      <c r="L329" s="1">
        <v>1</v>
      </c>
      <c r="M329" s="1">
        <v>309.5</v>
      </c>
      <c r="N329" s="1">
        <v>3.6</v>
      </c>
      <c r="O329" s="1">
        <v>73</v>
      </c>
      <c r="P329" s="1">
        <v>1259</v>
      </c>
      <c r="Q329" s="1">
        <v>114.7</v>
      </c>
      <c r="R329" s="1">
        <v>108</v>
      </c>
      <c r="S329" s="1">
        <v>251</v>
      </c>
      <c r="T329" s="1">
        <v>12.1</v>
      </c>
      <c r="U329" s="1">
        <v>2</v>
      </c>
    </row>
    <row r="330" spans="1:21" x14ac:dyDescent="0.35">
      <c r="A330" s="1">
        <v>329</v>
      </c>
      <c r="B330" s="1">
        <v>1462</v>
      </c>
      <c r="C330" s="1" t="s">
        <v>49</v>
      </c>
      <c r="D330" s="1" t="s">
        <v>28</v>
      </c>
      <c r="E330" s="2">
        <v>63.000684462696782</v>
      </c>
      <c r="F330" s="2" t="str" cm="1">
        <f t="array" ref="F330">_xlfn.IFS(E330&lt;25,"Under 25",E330&lt;40,"Young Adulthood",E330&lt;60,"Middle Adulthood",E330&gt;=60,"Older Adulthood")</f>
        <v>Older Adulthood</v>
      </c>
      <c r="G330" s="1" t="s">
        <v>23</v>
      </c>
      <c r="H330" s="1" t="s">
        <v>28</v>
      </c>
      <c r="I330" s="1" t="s">
        <v>28</v>
      </c>
      <c r="J330" s="1" t="s">
        <v>28</v>
      </c>
      <c r="K330" s="1" t="s">
        <v>54</v>
      </c>
      <c r="L330" s="1">
        <v>0.7</v>
      </c>
      <c r="M330" s="1">
        <v>309.5</v>
      </c>
      <c r="N330" s="1">
        <v>3.4</v>
      </c>
      <c r="O330" s="1">
        <v>73</v>
      </c>
      <c r="P330" s="1">
        <v>1259</v>
      </c>
      <c r="Q330" s="1">
        <v>114.7</v>
      </c>
      <c r="R330" s="1">
        <v>108</v>
      </c>
      <c r="S330" s="1">
        <v>371</v>
      </c>
      <c r="T330" s="1">
        <v>10.1</v>
      </c>
      <c r="U330" s="1">
        <v>4</v>
      </c>
    </row>
    <row r="331" spans="1:21" x14ac:dyDescent="0.35">
      <c r="A331" s="1">
        <v>330</v>
      </c>
      <c r="B331" s="1">
        <v>1746</v>
      </c>
      <c r="C331" s="1" t="s">
        <v>49</v>
      </c>
      <c r="D331" s="1" t="s">
        <v>28</v>
      </c>
      <c r="E331" s="2">
        <v>54.001368925393564</v>
      </c>
      <c r="F331" s="2" t="str" cm="1">
        <f t="array" ref="F331">_xlfn.IFS(E331&lt;25,"Under 25",E331&lt;40,"Young Adulthood",E331&lt;60,"Middle Adulthood",E331&gt;=60,"Older Adulthood")</f>
        <v>Middle Adulthood</v>
      </c>
      <c r="G331" s="1" t="s">
        <v>25</v>
      </c>
      <c r="H331" s="1" t="s">
        <v>28</v>
      </c>
      <c r="I331" s="1" t="s">
        <v>28</v>
      </c>
      <c r="J331" s="1" t="s">
        <v>28</v>
      </c>
      <c r="K331" s="1" t="s">
        <v>54</v>
      </c>
      <c r="L331" s="1">
        <v>3.5</v>
      </c>
      <c r="M331" s="1">
        <v>309.5</v>
      </c>
      <c r="N331" s="1">
        <v>3.63</v>
      </c>
      <c r="O331" s="1">
        <v>73</v>
      </c>
      <c r="P331" s="1">
        <v>1259</v>
      </c>
      <c r="Q331" s="1">
        <v>114.7</v>
      </c>
      <c r="R331" s="1">
        <v>108</v>
      </c>
      <c r="S331" s="1">
        <v>325</v>
      </c>
      <c r="T331" s="1">
        <v>10.3</v>
      </c>
      <c r="U331" s="1">
        <v>2</v>
      </c>
    </row>
    <row r="332" spans="1:21" x14ac:dyDescent="0.35">
      <c r="A332" s="1">
        <v>331</v>
      </c>
      <c r="B332" s="1">
        <v>94</v>
      </c>
      <c r="C332" s="1" t="s">
        <v>49</v>
      </c>
      <c r="D332" s="1" t="s">
        <v>28</v>
      </c>
      <c r="E332" s="2">
        <v>46.001368925393564</v>
      </c>
      <c r="F332" s="2" t="str" cm="1">
        <f t="array" ref="F332">_xlfn.IFS(E332&lt;25,"Under 25",E332&lt;40,"Young Adulthood",E332&lt;60,"Middle Adulthood",E332&gt;=60,"Older Adulthood")</f>
        <v>Middle Adulthood</v>
      </c>
      <c r="G332" s="1" t="s">
        <v>23</v>
      </c>
      <c r="H332" s="1" t="s">
        <v>28</v>
      </c>
      <c r="I332" s="1" t="s">
        <v>28</v>
      </c>
      <c r="J332" s="1" t="s">
        <v>28</v>
      </c>
      <c r="K332" s="1" t="s">
        <v>55</v>
      </c>
      <c r="L332" s="1">
        <v>3.1</v>
      </c>
      <c r="M332" s="1">
        <v>309.5</v>
      </c>
      <c r="N332" s="1">
        <v>3.56</v>
      </c>
      <c r="O332" s="1">
        <v>73</v>
      </c>
      <c r="P332" s="1">
        <v>1259</v>
      </c>
      <c r="Q332" s="1">
        <v>114.7</v>
      </c>
      <c r="R332" s="1">
        <v>108</v>
      </c>
      <c r="S332" s="1">
        <v>142</v>
      </c>
      <c r="T332" s="1">
        <v>13.6</v>
      </c>
      <c r="U332" s="1">
        <v>4</v>
      </c>
    </row>
    <row r="333" spans="1:21" x14ac:dyDescent="0.35">
      <c r="A333" s="1">
        <v>332</v>
      </c>
      <c r="B333" s="1">
        <v>785</v>
      </c>
      <c r="C333" s="1" t="s">
        <v>49</v>
      </c>
      <c r="D333" s="1" t="s">
        <v>28</v>
      </c>
      <c r="E333" s="2">
        <v>52.999315537303218</v>
      </c>
      <c r="F333" s="2" t="str" cm="1">
        <f t="array" ref="F333">_xlfn.IFS(E333&lt;25,"Under 25",E333&lt;40,"Young Adulthood",E333&lt;60,"Middle Adulthood",E333&gt;=60,"Older Adulthood")</f>
        <v>Middle Adulthood</v>
      </c>
      <c r="G333" s="1" t="s">
        <v>23</v>
      </c>
      <c r="H333" s="1" t="s">
        <v>28</v>
      </c>
      <c r="I333" s="1" t="s">
        <v>28</v>
      </c>
      <c r="J333" s="1" t="s">
        <v>28</v>
      </c>
      <c r="K333" s="1" t="s">
        <v>54</v>
      </c>
      <c r="L333" s="1">
        <v>12.6</v>
      </c>
      <c r="M333" s="1">
        <v>309.5</v>
      </c>
      <c r="N333" s="1">
        <v>2.87</v>
      </c>
      <c r="O333" s="1">
        <v>73</v>
      </c>
      <c r="P333" s="1">
        <v>1259</v>
      </c>
      <c r="Q333" s="1">
        <v>114.7</v>
      </c>
      <c r="R333" s="1">
        <v>108</v>
      </c>
      <c r="S333" s="1">
        <v>114</v>
      </c>
      <c r="T333" s="1">
        <v>11.8</v>
      </c>
      <c r="U333" s="1">
        <v>4</v>
      </c>
    </row>
    <row r="334" spans="1:21" x14ac:dyDescent="0.35">
      <c r="A334" s="1">
        <v>333</v>
      </c>
      <c r="B334" s="1">
        <v>1518</v>
      </c>
      <c r="C334" s="1" t="s">
        <v>49</v>
      </c>
      <c r="D334" s="1" t="s">
        <v>28</v>
      </c>
      <c r="E334" s="2">
        <v>56</v>
      </c>
      <c r="F334" s="2" t="str" cm="1">
        <f t="array" ref="F334">_xlfn.IFS(E334&lt;25,"Under 25",E334&lt;40,"Young Adulthood",E334&lt;60,"Middle Adulthood",E334&gt;=60,"Older Adulthood")</f>
        <v>Middle Adulthood</v>
      </c>
      <c r="G334" s="1" t="s">
        <v>23</v>
      </c>
      <c r="H334" s="1" t="s">
        <v>28</v>
      </c>
      <c r="I334" s="1" t="s">
        <v>28</v>
      </c>
      <c r="J334" s="1" t="s">
        <v>28</v>
      </c>
      <c r="K334" s="1" t="s">
        <v>54</v>
      </c>
      <c r="L334" s="1">
        <v>2.8</v>
      </c>
      <c r="M334" s="1">
        <v>309.5</v>
      </c>
      <c r="N334" s="1">
        <v>3.92</v>
      </c>
      <c r="O334" s="1">
        <v>73</v>
      </c>
      <c r="P334" s="1">
        <v>1259</v>
      </c>
      <c r="Q334" s="1">
        <v>114.7</v>
      </c>
      <c r="R334" s="1">
        <v>108</v>
      </c>
      <c r="S334" s="1">
        <v>251</v>
      </c>
      <c r="T334" s="1">
        <v>10.6</v>
      </c>
      <c r="U334" s="1">
        <v>4</v>
      </c>
    </row>
    <row r="335" spans="1:21" x14ac:dyDescent="0.35">
      <c r="A335" s="1">
        <v>334</v>
      </c>
      <c r="B335" s="1">
        <v>466</v>
      </c>
      <c r="C335" s="1" t="s">
        <v>49</v>
      </c>
      <c r="D335" s="1" t="s">
        <v>28</v>
      </c>
      <c r="E335" s="2">
        <v>56</v>
      </c>
      <c r="F335" s="2" t="str" cm="1">
        <f t="array" ref="F335">_xlfn.IFS(E335&lt;25,"Under 25",E335&lt;40,"Young Adulthood",E335&lt;60,"Middle Adulthood",E335&gt;=60,"Older Adulthood")</f>
        <v>Middle Adulthood</v>
      </c>
      <c r="G335" s="1" t="s">
        <v>23</v>
      </c>
      <c r="H335" s="1" t="s">
        <v>28</v>
      </c>
      <c r="I335" s="1" t="s">
        <v>28</v>
      </c>
      <c r="J335" s="1" t="s">
        <v>28</v>
      </c>
      <c r="K335" s="1" t="s">
        <v>54</v>
      </c>
      <c r="L335" s="1">
        <v>7.1</v>
      </c>
      <c r="M335" s="1">
        <v>309.5</v>
      </c>
      <c r="N335" s="1">
        <v>3.51</v>
      </c>
      <c r="O335" s="1">
        <v>73</v>
      </c>
      <c r="P335" s="1">
        <v>1259</v>
      </c>
      <c r="Q335" s="1">
        <v>114.7</v>
      </c>
      <c r="R335" s="1">
        <v>108</v>
      </c>
      <c r="S335" s="1">
        <v>721</v>
      </c>
      <c r="T335" s="1">
        <v>11.8</v>
      </c>
      <c r="U335" s="1">
        <v>3</v>
      </c>
    </row>
    <row r="336" spans="1:21" x14ac:dyDescent="0.35">
      <c r="A336" s="1">
        <v>335</v>
      </c>
      <c r="B336" s="1">
        <v>3527</v>
      </c>
      <c r="C336" s="1" t="s">
        <v>52</v>
      </c>
      <c r="D336" s="1" t="s">
        <v>28</v>
      </c>
      <c r="E336" s="2">
        <v>55.000684462696782</v>
      </c>
      <c r="F336" s="2" t="str" cm="1">
        <f t="array" ref="F336">_xlfn.IFS(E336&lt;25,"Under 25",E336&lt;40,"Young Adulthood",E336&lt;60,"Middle Adulthood",E336&gt;=60,"Older Adulthood")</f>
        <v>Middle Adulthood</v>
      </c>
      <c r="G336" s="1" t="s">
        <v>23</v>
      </c>
      <c r="H336" s="1" t="s">
        <v>28</v>
      </c>
      <c r="I336" s="1" t="s">
        <v>28</v>
      </c>
      <c r="J336" s="1" t="s">
        <v>28</v>
      </c>
      <c r="K336" s="1" t="s">
        <v>54</v>
      </c>
      <c r="L336" s="1">
        <v>0.6</v>
      </c>
      <c r="M336" s="1">
        <v>309.5</v>
      </c>
      <c r="N336" s="1">
        <v>4.1500000000000004</v>
      </c>
      <c r="O336" s="1">
        <v>73</v>
      </c>
      <c r="P336" s="1">
        <v>1259</v>
      </c>
      <c r="Q336" s="1">
        <v>114.7</v>
      </c>
      <c r="R336" s="1">
        <v>108</v>
      </c>
      <c r="S336" s="1">
        <v>280</v>
      </c>
      <c r="T336" s="1">
        <v>10.1</v>
      </c>
      <c r="U336" s="1">
        <v>2</v>
      </c>
    </row>
    <row r="337" spans="1:21" x14ac:dyDescent="0.35">
      <c r="A337" s="1">
        <v>336</v>
      </c>
      <c r="B337" s="1">
        <v>2635</v>
      </c>
      <c r="C337" s="1" t="s">
        <v>52</v>
      </c>
      <c r="D337" s="1" t="s">
        <v>28</v>
      </c>
      <c r="E337" s="2">
        <v>64.999315537303218</v>
      </c>
      <c r="F337" s="2" t="str" cm="1">
        <f t="array" ref="F337">_xlfn.IFS(E337&lt;25,"Under 25",E337&lt;40,"Young Adulthood",E337&lt;60,"Middle Adulthood",E337&gt;=60,"Older Adulthood")</f>
        <v>Older Adulthood</v>
      </c>
      <c r="G337" s="1" t="s">
        <v>23</v>
      </c>
      <c r="H337" s="1" t="s">
        <v>28</v>
      </c>
      <c r="I337" s="1" t="s">
        <v>28</v>
      </c>
      <c r="J337" s="1" t="s">
        <v>28</v>
      </c>
      <c r="K337" s="1" t="s">
        <v>54</v>
      </c>
      <c r="L337" s="1">
        <v>2.1</v>
      </c>
      <c r="M337" s="1">
        <v>309.5</v>
      </c>
      <c r="N337" s="1">
        <v>3.34</v>
      </c>
      <c r="O337" s="1">
        <v>73</v>
      </c>
      <c r="P337" s="1">
        <v>1259</v>
      </c>
      <c r="Q337" s="1">
        <v>114.7</v>
      </c>
      <c r="R337" s="1">
        <v>108</v>
      </c>
      <c r="S337" s="1">
        <v>155</v>
      </c>
      <c r="T337" s="1">
        <v>10.1</v>
      </c>
      <c r="U337" s="1">
        <v>4</v>
      </c>
    </row>
    <row r="338" spans="1:21" x14ac:dyDescent="0.35">
      <c r="A338" s="1">
        <v>337</v>
      </c>
      <c r="B338" s="1">
        <v>2286</v>
      </c>
      <c r="C338" s="1" t="s">
        <v>49</v>
      </c>
      <c r="D338" s="1" t="s">
        <v>28</v>
      </c>
      <c r="E338" s="2">
        <v>56</v>
      </c>
      <c r="F338" s="2" t="str" cm="1">
        <f t="array" ref="F338">_xlfn.IFS(E338&lt;25,"Under 25",E338&lt;40,"Young Adulthood",E338&lt;60,"Middle Adulthood",E338&gt;=60,"Older Adulthood")</f>
        <v>Middle Adulthood</v>
      </c>
      <c r="G338" s="1" t="s">
        <v>23</v>
      </c>
      <c r="H338" s="1" t="s">
        <v>28</v>
      </c>
      <c r="I338" s="1" t="s">
        <v>28</v>
      </c>
      <c r="J338" s="1" t="s">
        <v>28</v>
      </c>
      <c r="K338" s="1" t="s">
        <v>54</v>
      </c>
      <c r="L338" s="1">
        <v>1.8</v>
      </c>
      <c r="M338" s="1">
        <v>309.5</v>
      </c>
      <c r="N338" s="1">
        <v>3.64</v>
      </c>
      <c r="O338" s="1">
        <v>73</v>
      </c>
      <c r="P338" s="1">
        <v>1259</v>
      </c>
      <c r="Q338" s="1">
        <v>114.7</v>
      </c>
      <c r="R338" s="1">
        <v>108</v>
      </c>
      <c r="S338" s="1">
        <v>141</v>
      </c>
      <c r="T338" s="1">
        <v>10</v>
      </c>
      <c r="U338" s="1">
        <v>3</v>
      </c>
    </row>
    <row r="339" spans="1:21" x14ac:dyDescent="0.35">
      <c r="A339" s="1">
        <v>338</v>
      </c>
      <c r="B339" s="1">
        <v>791</v>
      </c>
      <c r="C339" s="1" t="s">
        <v>49</v>
      </c>
      <c r="D339" s="1" t="s">
        <v>28</v>
      </c>
      <c r="E339" s="2">
        <v>47.000684462696782</v>
      </c>
      <c r="F339" s="2" t="str" cm="1">
        <f t="array" ref="F339">_xlfn.IFS(E339&lt;25,"Under 25",E339&lt;40,"Young Adulthood",E339&lt;60,"Middle Adulthood",E339&gt;=60,"Older Adulthood")</f>
        <v>Middle Adulthood</v>
      </c>
      <c r="G339" s="1" t="s">
        <v>23</v>
      </c>
      <c r="H339" s="1" t="s">
        <v>28</v>
      </c>
      <c r="I339" s="1" t="s">
        <v>28</v>
      </c>
      <c r="J339" s="1" t="s">
        <v>28</v>
      </c>
      <c r="K339" s="1" t="s">
        <v>54</v>
      </c>
      <c r="L339" s="1">
        <v>16</v>
      </c>
      <c r="M339" s="1">
        <v>309.5</v>
      </c>
      <c r="N339" s="1">
        <v>3.42</v>
      </c>
      <c r="O339" s="1">
        <v>73</v>
      </c>
      <c r="P339" s="1">
        <v>1259</v>
      </c>
      <c r="Q339" s="1">
        <v>114.7</v>
      </c>
      <c r="R339" s="1">
        <v>108</v>
      </c>
      <c r="S339" s="1">
        <v>475</v>
      </c>
      <c r="T339" s="1">
        <v>13.8</v>
      </c>
      <c r="U339" s="1">
        <v>2</v>
      </c>
    </row>
    <row r="340" spans="1:21" x14ac:dyDescent="0.35">
      <c r="A340" s="1">
        <v>339</v>
      </c>
      <c r="B340" s="1">
        <v>3492</v>
      </c>
      <c r="C340" s="1" t="s">
        <v>52</v>
      </c>
      <c r="D340" s="1" t="s">
        <v>28</v>
      </c>
      <c r="E340" s="2">
        <v>60</v>
      </c>
      <c r="F340" s="2" t="str" cm="1">
        <f t="array" ref="F340">_xlfn.IFS(E340&lt;25,"Under 25",E340&lt;40,"Young Adulthood",E340&lt;60,"Middle Adulthood",E340&gt;=60,"Older Adulthood")</f>
        <v>Older Adulthood</v>
      </c>
      <c r="G340" s="1" t="s">
        <v>23</v>
      </c>
      <c r="H340" s="1" t="s">
        <v>28</v>
      </c>
      <c r="I340" s="1" t="s">
        <v>28</v>
      </c>
      <c r="J340" s="1" t="s">
        <v>28</v>
      </c>
      <c r="K340" s="1" t="s">
        <v>54</v>
      </c>
      <c r="L340" s="1">
        <v>0.6</v>
      </c>
      <c r="M340" s="1">
        <v>309.5</v>
      </c>
      <c r="N340" s="1">
        <v>4.38</v>
      </c>
      <c r="O340" s="1">
        <v>73</v>
      </c>
      <c r="P340" s="1">
        <v>1259</v>
      </c>
      <c r="Q340" s="1">
        <v>114.7</v>
      </c>
      <c r="R340" s="1">
        <v>108</v>
      </c>
      <c r="S340" s="1">
        <v>269</v>
      </c>
      <c r="T340" s="1">
        <v>10.6</v>
      </c>
      <c r="U340" s="1">
        <v>2</v>
      </c>
    </row>
    <row r="341" spans="1:21" x14ac:dyDescent="0.35">
      <c r="A341" s="1">
        <v>340</v>
      </c>
      <c r="B341" s="1">
        <v>3495</v>
      </c>
      <c r="C341" s="1" t="s">
        <v>52</v>
      </c>
      <c r="D341" s="1" t="s">
        <v>28</v>
      </c>
      <c r="E341" s="2">
        <v>52.999315537303218</v>
      </c>
      <c r="F341" s="2" t="str" cm="1">
        <f t="array" ref="F341">_xlfn.IFS(E341&lt;25,"Under 25",E341&lt;40,"Young Adulthood",E341&lt;60,"Middle Adulthood",E341&gt;=60,"Older Adulthood")</f>
        <v>Middle Adulthood</v>
      </c>
      <c r="G341" s="1" t="s">
        <v>23</v>
      </c>
      <c r="H341" s="1" t="s">
        <v>28</v>
      </c>
      <c r="I341" s="1" t="s">
        <v>28</v>
      </c>
      <c r="J341" s="1" t="s">
        <v>28</v>
      </c>
      <c r="K341" s="1" t="s">
        <v>54</v>
      </c>
      <c r="L341" s="1">
        <v>5.4</v>
      </c>
      <c r="M341" s="1">
        <v>309.5</v>
      </c>
      <c r="N341" s="1">
        <v>4.1900000000000004</v>
      </c>
      <c r="O341" s="1">
        <v>73</v>
      </c>
      <c r="P341" s="1">
        <v>1259</v>
      </c>
      <c r="Q341" s="1">
        <v>114.7</v>
      </c>
      <c r="R341" s="1">
        <v>108</v>
      </c>
      <c r="S341" s="1">
        <v>141</v>
      </c>
      <c r="T341" s="1">
        <v>11.2</v>
      </c>
      <c r="U341" s="1">
        <v>2</v>
      </c>
    </row>
    <row r="342" spans="1:21" x14ac:dyDescent="0.35">
      <c r="A342" s="1">
        <v>341</v>
      </c>
      <c r="B342" s="1">
        <v>111</v>
      </c>
      <c r="C342" s="1" t="s">
        <v>49</v>
      </c>
      <c r="D342" s="1" t="s">
        <v>28</v>
      </c>
      <c r="E342" s="2">
        <v>54.001368925393564</v>
      </c>
      <c r="F342" s="2" t="str" cm="1">
        <f t="array" ref="F342">_xlfn.IFS(E342&lt;25,"Under 25",E342&lt;40,"Young Adulthood",E342&lt;60,"Middle Adulthood",E342&gt;=60,"Older Adulthood")</f>
        <v>Middle Adulthood</v>
      </c>
      <c r="G342" s="1" t="s">
        <v>23</v>
      </c>
      <c r="H342" s="1" t="s">
        <v>28</v>
      </c>
      <c r="I342" s="1" t="s">
        <v>28</v>
      </c>
      <c r="J342" s="1" t="s">
        <v>28</v>
      </c>
      <c r="K342" s="1" t="s">
        <v>54</v>
      </c>
      <c r="L342" s="1">
        <v>9</v>
      </c>
      <c r="M342" s="1">
        <v>309.5</v>
      </c>
      <c r="N342" s="1">
        <v>3.29</v>
      </c>
      <c r="O342" s="1">
        <v>73</v>
      </c>
      <c r="P342" s="1">
        <v>1259</v>
      </c>
      <c r="Q342" s="1">
        <v>114.7</v>
      </c>
      <c r="R342" s="1">
        <v>108</v>
      </c>
      <c r="S342" s="1">
        <v>286</v>
      </c>
      <c r="T342" s="1">
        <v>13.1</v>
      </c>
      <c r="U342" s="1">
        <v>4</v>
      </c>
    </row>
    <row r="343" spans="1:21" x14ac:dyDescent="0.35">
      <c r="A343" s="1">
        <v>342</v>
      </c>
      <c r="B343" s="1">
        <v>3231</v>
      </c>
      <c r="C343" s="1" t="s">
        <v>52</v>
      </c>
      <c r="D343" s="1" t="s">
        <v>28</v>
      </c>
      <c r="E343" s="2">
        <v>50.001368925393564</v>
      </c>
      <c r="F343" s="2" t="str" cm="1">
        <f t="array" ref="F343">_xlfn.IFS(E343&lt;25,"Under 25",E343&lt;40,"Young Adulthood",E343&lt;60,"Middle Adulthood",E343&gt;=60,"Older Adulthood")</f>
        <v>Middle Adulthood</v>
      </c>
      <c r="G343" s="1" t="s">
        <v>23</v>
      </c>
      <c r="H343" s="1" t="s">
        <v>28</v>
      </c>
      <c r="I343" s="1" t="s">
        <v>28</v>
      </c>
      <c r="J343" s="1" t="s">
        <v>28</v>
      </c>
      <c r="K343" s="1" t="s">
        <v>54</v>
      </c>
      <c r="L343" s="1">
        <v>0.9</v>
      </c>
      <c r="M343" s="1">
        <v>309.5</v>
      </c>
      <c r="N343" s="1">
        <v>4.01</v>
      </c>
      <c r="O343" s="1">
        <v>73</v>
      </c>
      <c r="P343" s="1">
        <v>1259</v>
      </c>
      <c r="Q343" s="1">
        <v>114.7</v>
      </c>
      <c r="R343" s="1">
        <v>108</v>
      </c>
      <c r="S343" s="1">
        <v>244</v>
      </c>
      <c r="T343" s="1">
        <v>10.5</v>
      </c>
      <c r="U343" s="1">
        <v>3</v>
      </c>
    </row>
    <row r="344" spans="1:21" x14ac:dyDescent="0.35">
      <c r="A344" s="1">
        <v>343</v>
      </c>
      <c r="B344" s="1">
        <v>625</v>
      </c>
      <c r="C344" s="1" t="s">
        <v>49</v>
      </c>
      <c r="D344" s="1" t="s">
        <v>28</v>
      </c>
      <c r="E344" s="2">
        <v>48</v>
      </c>
      <c r="F344" s="2" t="str" cm="1">
        <f t="array" ref="F344">_xlfn.IFS(E344&lt;25,"Under 25",E344&lt;40,"Young Adulthood",E344&lt;60,"Middle Adulthood",E344&gt;=60,"Older Adulthood")</f>
        <v>Middle Adulthood</v>
      </c>
      <c r="G344" s="1" t="s">
        <v>23</v>
      </c>
      <c r="H344" s="1" t="s">
        <v>28</v>
      </c>
      <c r="I344" s="1" t="s">
        <v>28</v>
      </c>
      <c r="J344" s="1" t="s">
        <v>28</v>
      </c>
      <c r="K344" s="1" t="s">
        <v>54</v>
      </c>
      <c r="L344" s="1">
        <v>11.1</v>
      </c>
      <c r="M344" s="1">
        <v>309.5</v>
      </c>
      <c r="N344" s="1">
        <v>2.84</v>
      </c>
      <c r="O344" s="1">
        <v>73</v>
      </c>
      <c r="P344" s="1">
        <v>1259</v>
      </c>
      <c r="Q344" s="1">
        <v>114.7</v>
      </c>
      <c r="R344" s="1">
        <v>108</v>
      </c>
      <c r="S344" s="1">
        <v>251</v>
      </c>
      <c r="T344" s="1">
        <v>12.2</v>
      </c>
      <c r="U344" s="1">
        <v>2</v>
      </c>
    </row>
    <row r="345" spans="1:21" x14ac:dyDescent="0.35">
      <c r="A345" s="1">
        <v>344</v>
      </c>
      <c r="B345" s="1">
        <v>3157</v>
      </c>
      <c r="C345" s="1" t="s">
        <v>52</v>
      </c>
      <c r="D345" s="1" t="s">
        <v>28</v>
      </c>
      <c r="E345" s="2">
        <v>36</v>
      </c>
      <c r="F345" s="2" t="str" cm="1">
        <f t="array" ref="F345">_xlfn.IFS(E345&lt;25,"Under 25",E345&lt;40,"Young Adulthood",E345&lt;60,"Middle Adulthood",E345&gt;=60,"Older Adulthood")</f>
        <v>Young Adulthood</v>
      </c>
      <c r="G345" s="1" t="s">
        <v>23</v>
      </c>
      <c r="H345" s="1" t="s">
        <v>28</v>
      </c>
      <c r="I345" s="1" t="s">
        <v>28</v>
      </c>
      <c r="J345" s="1" t="s">
        <v>28</v>
      </c>
      <c r="K345" s="1" t="s">
        <v>54</v>
      </c>
      <c r="L345" s="1">
        <v>8.9</v>
      </c>
      <c r="M345" s="1">
        <v>309.5</v>
      </c>
      <c r="N345" s="1">
        <v>3.76</v>
      </c>
      <c r="O345" s="1">
        <v>73</v>
      </c>
      <c r="P345" s="1">
        <v>1259</v>
      </c>
      <c r="Q345" s="1">
        <v>114.7</v>
      </c>
      <c r="R345" s="1">
        <v>108</v>
      </c>
      <c r="S345" s="1">
        <v>209</v>
      </c>
      <c r="T345" s="1">
        <v>10.6</v>
      </c>
      <c r="U345" s="1">
        <v>3</v>
      </c>
    </row>
    <row r="346" spans="1:21" x14ac:dyDescent="0.35">
      <c r="A346" s="1">
        <v>345</v>
      </c>
      <c r="B346" s="1">
        <v>3021</v>
      </c>
      <c r="C346" s="1" t="s">
        <v>56</v>
      </c>
      <c r="D346" s="1" t="s">
        <v>28</v>
      </c>
      <c r="E346" s="2">
        <v>48</v>
      </c>
      <c r="F346" s="2" t="str" cm="1">
        <f t="array" ref="F346">_xlfn.IFS(E346&lt;25,"Under 25",E346&lt;40,"Young Adulthood",E346&lt;60,"Middle Adulthood",E346&gt;=60,"Older Adulthood")</f>
        <v>Middle Adulthood</v>
      </c>
      <c r="G346" s="1" t="s">
        <v>23</v>
      </c>
      <c r="H346" s="1" t="s">
        <v>28</v>
      </c>
      <c r="I346" s="1" t="s">
        <v>28</v>
      </c>
      <c r="J346" s="1" t="s">
        <v>28</v>
      </c>
      <c r="K346" s="1" t="s">
        <v>54</v>
      </c>
      <c r="L346" s="1">
        <v>0.5</v>
      </c>
      <c r="M346" s="1">
        <v>309.5</v>
      </c>
      <c r="N346" s="1">
        <v>3.76</v>
      </c>
      <c r="O346" s="1">
        <v>73</v>
      </c>
      <c r="P346" s="1">
        <v>1259</v>
      </c>
      <c r="Q346" s="1">
        <v>114.7</v>
      </c>
      <c r="R346" s="1">
        <v>108</v>
      </c>
      <c r="S346" s="1">
        <v>388</v>
      </c>
      <c r="T346" s="1">
        <v>10.1</v>
      </c>
      <c r="U346" s="1">
        <v>2</v>
      </c>
    </row>
    <row r="347" spans="1:21" x14ac:dyDescent="0.35">
      <c r="A347" s="1">
        <v>346</v>
      </c>
      <c r="B347" s="1">
        <v>559</v>
      </c>
      <c r="C347" s="1" t="s">
        <v>49</v>
      </c>
      <c r="D347" s="1" t="s">
        <v>28</v>
      </c>
      <c r="E347" s="2">
        <v>70.001368925393564</v>
      </c>
      <c r="F347" s="2" t="str" cm="1">
        <f t="array" ref="F347">_xlfn.IFS(E347&lt;25,"Under 25",E347&lt;40,"Young Adulthood",E347&lt;60,"Middle Adulthood",E347&gt;=60,"Older Adulthood")</f>
        <v>Older Adulthood</v>
      </c>
      <c r="G347" s="1" t="s">
        <v>23</v>
      </c>
      <c r="H347" s="1" t="s">
        <v>28</v>
      </c>
      <c r="I347" s="1" t="s">
        <v>28</v>
      </c>
      <c r="J347" s="1" t="s">
        <v>28</v>
      </c>
      <c r="K347" s="1" t="s">
        <v>55</v>
      </c>
      <c r="L347" s="1">
        <v>0.6</v>
      </c>
      <c r="M347" s="1">
        <v>309.5</v>
      </c>
      <c r="N347" s="1">
        <v>3.81</v>
      </c>
      <c r="O347" s="1">
        <v>73</v>
      </c>
      <c r="P347" s="1">
        <v>1259</v>
      </c>
      <c r="Q347" s="1">
        <v>114.7</v>
      </c>
      <c r="R347" s="1">
        <v>108</v>
      </c>
      <c r="S347" s="1">
        <v>160</v>
      </c>
      <c r="T347" s="1">
        <v>11</v>
      </c>
      <c r="U347" s="1">
        <v>4</v>
      </c>
    </row>
    <row r="348" spans="1:21" x14ac:dyDescent="0.35">
      <c r="A348" s="1">
        <v>347</v>
      </c>
      <c r="B348" s="1">
        <v>2812</v>
      </c>
      <c r="C348" s="1" t="s">
        <v>49</v>
      </c>
      <c r="D348" s="1" t="s">
        <v>28</v>
      </c>
      <c r="E348" s="2">
        <v>51.000684462696782</v>
      </c>
      <c r="F348" s="2" t="str" cm="1">
        <f t="array" ref="F348">_xlfn.IFS(E348&lt;25,"Under 25",E348&lt;40,"Young Adulthood",E348&lt;60,"Middle Adulthood",E348&gt;=60,"Older Adulthood")</f>
        <v>Middle Adulthood</v>
      </c>
      <c r="G348" s="1" t="s">
        <v>23</v>
      </c>
      <c r="H348" s="1" t="s">
        <v>28</v>
      </c>
      <c r="I348" s="1" t="s">
        <v>28</v>
      </c>
      <c r="J348" s="1" t="s">
        <v>28</v>
      </c>
      <c r="K348" s="1" t="s">
        <v>54</v>
      </c>
      <c r="L348" s="1">
        <v>3.4</v>
      </c>
      <c r="M348" s="1">
        <v>309.5</v>
      </c>
      <c r="N348" s="1">
        <v>3.92</v>
      </c>
      <c r="O348" s="1">
        <v>73</v>
      </c>
      <c r="P348" s="1">
        <v>1259</v>
      </c>
      <c r="Q348" s="1">
        <v>114.7</v>
      </c>
      <c r="R348" s="1">
        <v>108</v>
      </c>
      <c r="S348" s="1">
        <v>251</v>
      </c>
      <c r="T348" s="1">
        <v>9.3000000000000007</v>
      </c>
      <c r="U348" s="1">
        <v>2</v>
      </c>
    </row>
    <row r="349" spans="1:21" x14ac:dyDescent="0.35">
      <c r="A349" s="1">
        <v>348</v>
      </c>
      <c r="B349" s="1">
        <v>2834</v>
      </c>
      <c r="C349" s="1" t="s">
        <v>52</v>
      </c>
      <c r="D349" s="1" t="s">
        <v>28</v>
      </c>
      <c r="E349" s="2">
        <v>52</v>
      </c>
      <c r="F349" s="2" t="str" cm="1">
        <f t="array" ref="F349">_xlfn.IFS(E349&lt;25,"Under 25",E349&lt;40,"Young Adulthood",E349&lt;60,"Middle Adulthood",E349&gt;=60,"Older Adulthood")</f>
        <v>Middle Adulthood</v>
      </c>
      <c r="G349" s="1" t="s">
        <v>25</v>
      </c>
      <c r="H349" s="1" t="s">
        <v>28</v>
      </c>
      <c r="I349" s="1" t="s">
        <v>28</v>
      </c>
      <c r="J349" s="1" t="s">
        <v>28</v>
      </c>
      <c r="K349" s="1" t="s">
        <v>54</v>
      </c>
      <c r="L349" s="1">
        <v>0.9</v>
      </c>
      <c r="M349" s="1">
        <v>309.5</v>
      </c>
      <c r="N349" s="1">
        <v>3.14</v>
      </c>
      <c r="O349" s="1">
        <v>73</v>
      </c>
      <c r="P349" s="1">
        <v>1259</v>
      </c>
      <c r="Q349" s="1">
        <v>114.7</v>
      </c>
      <c r="R349" s="1">
        <v>108</v>
      </c>
      <c r="S349" s="1">
        <v>191</v>
      </c>
      <c r="T349" s="1">
        <v>12.3</v>
      </c>
      <c r="U349" s="1">
        <v>2</v>
      </c>
    </row>
    <row r="350" spans="1:21" x14ac:dyDescent="0.35">
      <c r="A350" s="1">
        <v>349</v>
      </c>
      <c r="B350" s="1">
        <v>2855</v>
      </c>
      <c r="C350" s="1" t="s">
        <v>52</v>
      </c>
      <c r="D350" s="1" t="s">
        <v>28</v>
      </c>
      <c r="E350" s="2">
        <v>54.001368925393564</v>
      </c>
      <c r="F350" s="2" t="str" cm="1">
        <f t="array" ref="F350">_xlfn.IFS(E350&lt;25,"Under 25",E350&lt;40,"Young Adulthood",E350&lt;60,"Middle Adulthood",E350&gt;=60,"Older Adulthood")</f>
        <v>Middle Adulthood</v>
      </c>
      <c r="G350" s="1" t="s">
        <v>23</v>
      </c>
      <c r="H350" s="1" t="s">
        <v>28</v>
      </c>
      <c r="I350" s="1" t="s">
        <v>28</v>
      </c>
      <c r="J350" s="1" t="s">
        <v>28</v>
      </c>
      <c r="K350" s="1" t="s">
        <v>54</v>
      </c>
      <c r="L350" s="1">
        <v>1.4</v>
      </c>
      <c r="M350" s="1">
        <v>309.5</v>
      </c>
      <c r="N350" s="1">
        <v>3.82</v>
      </c>
      <c r="O350" s="1">
        <v>73</v>
      </c>
      <c r="P350" s="1">
        <v>1259</v>
      </c>
      <c r="Q350" s="1">
        <v>114.7</v>
      </c>
      <c r="R350" s="1">
        <v>108</v>
      </c>
      <c r="S350" s="1">
        <v>249</v>
      </c>
      <c r="T350" s="1">
        <v>10.3</v>
      </c>
      <c r="U350" s="1">
        <v>2</v>
      </c>
    </row>
    <row r="351" spans="1:21" x14ac:dyDescent="0.35">
      <c r="A351" s="1">
        <v>350</v>
      </c>
      <c r="B351" s="1">
        <v>662</v>
      </c>
      <c r="C351" s="1" t="s">
        <v>49</v>
      </c>
      <c r="D351" s="1" t="s">
        <v>28</v>
      </c>
      <c r="E351" s="2">
        <v>48</v>
      </c>
      <c r="F351" s="2" t="str" cm="1">
        <f t="array" ref="F351">_xlfn.IFS(E351&lt;25,"Under 25",E351&lt;40,"Young Adulthood",E351&lt;60,"Middle Adulthood",E351&gt;=60,"Older Adulthood")</f>
        <v>Middle Adulthood</v>
      </c>
      <c r="G351" s="1" t="s">
        <v>23</v>
      </c>
      <c r="H351" s="1" t="s">
        <v>28</v>
      </c>
      <c r="I351" s="1" t="s">
        <v>28</v>
      </c>
      <c r="J351" s="1" t="s">
        <v>28</v>
      </c>
      <c r="K351" s="1" t="s">
        <v>54</v>
      </c>
      <c r="L351" s="1">
        <v>2.1</v>
      </c>
      <c r="M351" s="1">
        <v>309.5</v>
      </c>
      <c r="N351" s="1">
        <v>4.0999999999999996</v>
      </c>
      <c r="O351" s="1">
        <v>73</v>
      </c>
      <c r="P351" s="1">
        <v>1259</v>
      </c>
      <c r="Q351" s="1">
        <v>114.7</v>
      </c>
      <c r="R351" s="1">
        <v>108</v>
      </c>
      <c r="S351" s="1">
        <v>200</v>
      </c>
      <c r="T351" s="1">
        <v>9</v>
      </c>
      <c r="U351" s="1">
        <v>3</v>
      </c>
    </row>
    <row r="352" spans="1:21" x14ac:dyDescent="0.35">
      <c r="A352" s="1">
        <v>351</v>
      </c>
      <c r="B352" s="1">
        <v>727</v>
      </c>
      <c r="C352" s="1" t="s">
        <v>49</v>
      </c>
      <c r="D352" s="1" t="s">
        <v>28</v>
      </c>
      <c r="E352" s="2">
        <v>66.001368925393564</v>
      </c>
      <c r="F352" s="2" t="str" cm="1">
        <f t="array" ref="F352">_xlfn.IFS(E352&lt;25,"Under 25",E352&lt;40,"Young Adulthood",E352&lt;60,"Middle Adulthood",E352&gt;=60,"Older Adulthood")</f>
        <v>Older Adulthood</v>
      </c>
      <c r="G352" s="1" t="s">
        <v>23</v>
      </c>
      <c r="H352" s="1" t="s">
        <v>28</v>
      </c>
      <c r="I352" s="1" t="s">
        <v>28</v>
      </c>
      <c r="J352" s="1" t="s">
        <v>28</v>
      </c>
      <c r="K352" s="1" t="s">
        <v>54</v>
      </c>
      <c r="L352" s="1">
        <v>15</v>
      </c>
      <c r="M352" s="1">
        <v>309.5</v>
      </c>
      <c r="N352" s="1">
        <v>3.4</v>
      </c>
      <c r="O352" s="1">
        <v>73</v>
      </c>
      <c r="P352" s="1">
        <v>1259</v>
      </c>
      <c r="Q352" s="1">
        <v>114.7</v>
      </c>
      <c r="R352" s="1">
        <v>108</v>
      </c>
      <c r="S352" s="1">
        <v>150</v>
      </c>
      <c r="T352" s="1">
        <v>11.1</v>
      </c>
      <c r="U352" s="1">
        <v>4</v>
      </c>
    </row>
    <row r="353" spans="1:21" x14ac:dyDescent="0.35">
      <c r="A353" s="1">
        <v>352</v>
      </c>
      <c r="B353" s="1">
        <v>2716</v>
      </c>
      <c r="C353" s="1" t="s">
        <v>52</v>
      </c>
      <c r="D353" s="1" t="s">
        <v>28</v>
      </c>
      <c r="E353" s="2">
        <v>52.999315537303218</v>
      </c>
      <c r="F353" s="2" t="str" cm="1">
        <f t="array" ref="F353">_xlfn.IFS(E353&lt;25,"Under 25",E353&lt;40,"Young Adulthood",E353&lt;60,"Middle Adulthood",E353&gt;=60,"Older Adulthood")</f>
        <v>Middle Adulthood</v>
      </c>
      <c r="G353" s="1" t="s">
        <v>23</v>
      </c>
      <c r="H353" s="1" t="s">
        <v>28</v>
      </c>
      <c r="I353" s="1" t="s">
        <v>28</v>
      </c>
      <c r="J353" s="1" t="s">
        <v>28</v>
      </c>
      <c r="K353" s="1" t="s">
        <v>54</v>
      </c>
      <c r="L353" s="1">
        <v>0.6</v>
      </c>
      <c r="M353" s="1">
        <v>309.5</v>
      </c>
      <c r="N353" s="1">
        <v>4.1900000000000004</v>
      </c>
      <c r="O353" s="1">
        <v>73</v>
      </c>
      <c r="P353" s="1">
        <v>1259</v>
      </c>
      <c r="Q353" s="1">
        <v>114.7</v>
      </c>
      <c r="R353" s="1">
        <v>108</v>
      </c>
      <c r="S353" s="1">
        <v>330</v>
      </c>
      <c r="T353" s="1">
        <v>9.9</v>
      </c>
      <c r="U353" s="1">
        <v>1</v>
      </c>
    </row>
    <row r="354" spans="1:21" x14ac:dyDescent="0.35">
      <c r="A354" s="1">
        <v>353</v>
      </c>
      <c r="B354" s="1">
        <v>2698</v>
      </c>
      <c r="C354" s="1" t="s">
        <v>52</v>
      </c>
      <c r="D354" s="1" t="s">
        <v>28</v>
      </c>
      <c r="E354" s="2">
        <v>62.001368925393564</v>
      </c>
      <c r="F354" s="2" t="str" cm="1">
        <f t="array" ref="F354">_xlfn.IFS(E354&lt;25,"Under 25",E354&lt;40,"Young Adulthood",E354&lt;60,"Middle Adulthood",E354&gt;=60,"Older Adulthood")</f>
        <v>Older Adulthood</v>
      </c>
      <c r="G354" s="1" t="s">
        <v>23</v>
      </c>
      <c r="H354" s="1" t="s">
        <v>28</v>
      </c>
      <c r="I354" s="1" t="s">
        <v>28</v>
      </c>
      <c r="J354" s="1" t="s">
        <v>28</v>
      </c>
      <c r="K354" s="1" t="s">
        <v>54</v>
      </c>
      <c r="L354" s="1">
        <v>1.3</v>
      </c>
      <c r="M354" s="1">
        <v>309.5</v>
      </c>
      <c r="N354" s="1">
        <v>3.4</v>
      </c>
      <c r="O354" s="1">
        <v>73</v>
      </c>
      <c r="P354" s="1">
        <v>1259</v>
      </c>
      <c r="Q354" s="1">
        <v>114.7</v>
      </c>
      <c r="R354" s="1">
        <v>108</v>
      </c>
      <c r="S354" s="1">
        <v>167</v>
      </c>
      <c r="T354" s="1">
        <v>10.6</v>
      </c>
      <c r="U354" s="1">
        <v>4</v>
      </c>
    </row>
    <row r="355" spans="1:21" x14ac:dyDescent="0.35">
      <c r="A355" s="1">
        <v>354</v>
      </c>
      <c r="B355" s="1">
        <v>990</v>
      </c>
      <c r="C355" s="1" t="s">
        <v>49</v>
      </c>
      <c r="D355" s="1" t="s">
        <v>28</v>
      </c>
      <c r="E355" s="2">
        <v>59.000684462696782</v>
      </c>
      <c r="F355" s="2" t="str" cm="1">
        <f t="array" ref="F355">_xlfn.IFS(E355&lt;25,"Under 25",E355&lt;40,"Young Adulthood",E355&lt;60,"Middle Adulthood",E355&gt;=60,"Older Adulthood")</f>
        <v>Middle Adulthood</v>
      </c>
      <c r="G355" s="1" t="s">
        <v>23</v>
      </c>
      <c r="H355" s="1" t="s">
        <v>28</v>
      </c>
      <c r="I355" s="1" t="s">
        <v>28</v>
      </c>
      <c r="J355" s="1" t="s">
        <v>28</v>
      </c>
      <c r="K355" s="1" t="s">
        <v>54</v>
      </c>
      <c r="L355" s="1">
        <v>1.3</v>
      </c>
      <c r="M355" s="1">
        <v>309.5</v>
      </c>
      <c r="N355" s="1">
        <v>3.12</v>
      </c>
      <c r="O355" s="1">
        <v>73</v>
      </c>
      <c r="P355" s="1">
        <v>1259</v>
      </c>
      <c r="Q355" s="1">
        <v>114.7</v>
      </c>
      <c r="R355" s="1">
        <v>108</v>
      </c>
      <c r="S355" s="1">
        <v>125</v>
      </c>
      <c r="T355" s="1">
        <v>9.6</v>
      </c>
      <c r="U355" s="1">
        <v>2</v>
      </c>
    </row>
    <row r="356" spans="1:21" x14ac:dyDescent="0.35">
      <c r="A356" s="1">
        <v>355</v>
      </c>
      <c r="B356" s="1">
        <v>2338</v>
      </c>
      <c r="C356" s="1" t="s">
        <v>52</v>
      </c>
      <c r="D356" s="1" t="s">
        <v>28</v>
      </c>
      <c r="E356" s="2">
        <v>39.000684462696782</v>
      </c>
      <c r="F356" s="2" t="str" cm="1">
        <f t="array" ref="F356">_xlfn.IFS(E356&lt;25,"Under 25",E356&lt;40,"Young Adulthood",E356&lt;60,"Middle Adulthood",E356&gt;=60,"Older Adulthood")</f>
        <v>Young Adulthood</v>
      </c>
      <c r="G356" s="1" t="s">
        <v>23</v>
      </c>
      <c r="H356" s="1" t="s">
        <v>28</v>
      </c>
      <c r="I356" s="1" t="s">
        <v>28</v>
      </c>
      <c r="J356" s="1" t="s">
        <v>28</v>
      </c>
      <c r="K356" s="1" t="s">
        <v>54</v>
      </c>
      <c r="L356" s="1">
        <v>1.6</v>
      </c>
      <c r="M356" s="1">
        <v>309.5</v>
      </c>
      <c r="N356" s="1">
        <v>3.75</v>
      </c>
      <c r="O356" s="1">
        <v>73</v>
      </c>
      <c r="P356" s="1">
        <v>1259</v>
      </c>
      <c r="Q356" s="1">
        <v>114.7</v>
      </c>
      <c r="R356" s="1">
        <v>108</v>
      </c>
      <c r="S356" s="1">
        <v>145</v>
      </c>
      <c r="T356" s="1">
        <v>10.4</v>
      </c>
      <c r="U356" s="1">
        <v>3</v>
      </c>
    </row>
    <row r="357" spans="1:21" x14ac:dyDescent="0.35">
      <c r="A357" s="1">
        <v>356</v>
      </c>
      <c r="B357" s="1">
        <v>1616</v>
      </c>
      <c r="C357" s="1" t="s">
        <v>49</v>
      </c>
      <c r="D357" s="1" t="s">
        <v>28</v>
      </c>
      <c r="E357" s="2">
        <v>67.000684462696782</v>
      </c>
      <c r="F357" s="2" t="str" cm="1">
        <f t="array" ref="F357">_xlfn.IFS(E357&lt;25,"Under 25",E357&lt;40,"Young Adulthood",E357&lt;60,"Middle Adulthood",E357&gt;=60,"Older Adulthood")</f>
        <v>Older Adulthood</v>
      </c>
      <c r="G357" s="1" t="s">
        <v>23</v>
      </c>
      <c r="H357" s="1" t="s">
        <v>28</v>
      </c>
      <c r="I357" s="1" t="s">
        <v>28</v>
      </c>
      <c r="J357" s="1" t="s">
        <v>28</v>
      </c>
      <c r="K357" s="1" t="s">
        <v>55</v>
      </c>
      <c r="L357" s="1">
        <v>2.2000000000000002</v>
      </c>
      <c r="M357" s="1">
        <v>309.5</v>
      </c>
      <c r="N357" s="1">
        <v>3.26</v>
      </c>
      <c r="O357" s="1">
        <v>73</v>
      </c>
      <c r="P357" s="1">
        <v>1259</v>
      </c>
      <c r="Q357" s="1">
        <v>114.7</v>
      </c>
      <c r="R357" s="1">
        <v>108</v>
      </c>
      <c r="S357" s="1">
        <v>171</v>
      </c>
      <c r="T357" s="1">
        <v>11.1</v>
      </c>
      <c r="U357" s="1">
        <v>4</v>
      </c>
    </row>
    <row r="358" spans="1:21" x14ac:dyDescent="0.35">
      <c r="A358" s="1">
        <v>357</v>
      </c>
      <c r="B358" s="1">
        <v>2563</v>
      </c>
      <c r="C358" s="1" t="s">
        <v>52</v>
      </c>
      <c r="D358" s="1" t="s">
        <v>28</v>
      </c>
      <c r="E358" s="2">
        <v>58.001368925393564</v>
      </c>
      <c r="F358" s="2" t="str" cm="1">
        <f t="array" ref="F358">_xlfn.IFS(E358&lt;25,"Under 25",E358&lt;40,"Young Adulthood",E358&lt;60,"Middle Adulthood",E358&gt;=60,"Older Adulthood")</f>
        <v>Middle Adulthood</v>
      </c>
      <c r="G358" s="1" t="s">
        <v>23</v>
      </c>
      <c r="H358" s="1" t="s">
        <v>28</v>
      </c>
      <c r="I358" s="1" t="s">
        <v>28</v>
      </c>
      <c r="J358" s="1" t="s">
        <v>28</v>
      </c>
      <c r="K358" s="1" t="s">
        <v>54</v>
      </c>
      <c r="L358" s="1">
        <v>3</v>
      </c>
      <c r="M358" s="1">
        <v>309.5</v>
      </c>
      <c r="N358" s="1">
        <v>3.46</v>
      </c>
      <c r="O358" s="1">
        <v>73</v>
      </c>
      <c r="P358" s="1">
        <v>1259</v>
      </c>
      <c r="Q358" s="1">
        <v>114.7</v>
      </c>
      <c r="R358" s="1">
        <v>108</v>
      </c>
      <c r="S358" s="1">
        <v>109</v>
      </c>
      <c r="T358" s="1">
        <v>10.4</v>
      </c>
      <c r="U358" s="1">
        <v>4</v>
      </c>
    </row>
    <row r="359" spans="1:21" x14ac:dyDescent="0.35">
      <c r="A359" s="1">
        <v>358</v>
      </c>
      <c r="B359" s="1">
        <v>2537</v>
      </c>
      <c r="C359" s="1" t="s">
        <v>52</v>
      </c>
      <c r="D359" s="1" t="s">
        <v>28</v>
      </c>
      <c r="E359" s="2">
        <v>64</v>
      </c>
      <c r="F359" s="2" t="str" cm="1">
        <f t="array" ref="F359">_xlfn.IFS(E359&lt;25,"Under 25",E359&lt;40,"Young Adulthood",E359&lt;60,"Middle Adulthood",E359&gt;=60,"Older Adulthood")</f>
        <v>Older Adulthood</v>
      </c>
      <c r="G359" s="1" t="s">
        <v>23</v>
      </c>
      <c r="H359" s="1" t="s">
        <v>28</v>
      </c>
      <c r="I359" s="1" t="s">
        <v>28</v>
      </c>
      <c r="J359" s="1" t="s">
        <v>28</v>
      </c>
      <c r="K359" s="1" t="s">
        <v>54</v>
      </c>
      <c r="L359" s="1">
        <v>0.8</v>
      </c>
      <c r="M359" s="1">
        <v>309.5</v>
      </c>
      <c r="N359" s="1">
        <v>3.49</v>
      </c>
      <c r="O359" s="1">
        <v>73</v>
      </c>
      <c r="P359" s="1">
        <v>1259</v>
      </c>
      <c r="Q359" s="1">
        <v>114.7</v>
      </c>
      <c r="R359" s="1">
        <v>108</v>
      </c>
      <c r="S359" s="1">
        <v>314</v>
      </c>
      <c r="T359" s="1">
        <v>10.3</v>
      </c>
      <c r="U359" s="1">
        <v>3</v>
      </c>
    </row>
    <row r="360" spans="1:21" x14ac:dyDescent="0.35">
      <c r="A360" s="1">
        <v>359</v>
      </c>
      <c r="B360" s="1">
        <v>2534</v>
      </c>
      <c r="C360" s="1" t="s">
        <v>52</v>
      </c>
      <c r="D360" s="1" t="s">
        <v>28</v>
      </c>
      <c r="E360" s="2">
        <v>46.001368925393564</v>
      </c>
      <c r="F360" s="2" t="str" cm="1">
        <f t="array" ref="F360">_xlfn.IFS(E360&lt;25,"Under 25",E360&lt;40,"Young Adulthood",E360&lt;60,"Middle Adulthood",E360&gt;=60,"Older Adulthood")</f>
        <v>Middle Adulthood</v>
      </c>
      <c r="G360" s="1" t="s">
        <v>23</v>
      </c>
      <c r="H360" s="1" t="s">
        <v>28</v>
      </c>
      <c r="I360" s="1" t="s">
        <v>28</v>
      </c>
      <c r="J360" s="1" t="s">
        <v>28</v>
      </c>
      <c r="K360" s="1" t="s">
        <v>54</v>
      </c>
      <c r="L360" s="1">
        <v>0.8</v>
      </c>
      <c r="M360" s="1">
        <v>309.5</v>
      </c>
      <c r="N360" s="1">
        <v>2.89</v>
      </c>
      <c r="O360" s="1">
        <v>73</v>
      </c>
      <c r="P360" s="1">
        <v>1259</v>
      </c>
      <c r="Q360" s="1">
        <v>114.7</v>
      </c>
      <c r="R360" s="1">
        <v>108</v>
      </c>
      <c r="S360" s="1">
        <v>419</v>
      </c>
      <c r="T360" s="1">
        <v>10.6</v>
      </c>
      <c r="U360" s="1">
        <v>1</v>
      </c>
    </row>
    <row r="361" spans="1:21" x14ac:dyDescent="0.35">
      <c r="A361" s="1">
        <v>360</v>
      </c>
      <c r="B361" s="1">
        <v>778</v>
      </c>
      <c r="C361" s="1" t="s">
        <v>49</v>
      </c>
      <c r="D361" s="1" t="s">
        <v>28</v>
      </c>
      <c r="E361" s="2">
        <v>64</v>
      </c>
      <c r="F361" s="2" t="str" cm="1">
        <f t="array" ref="F361">_xlfn.IFS(E361&lt;25,"Under 25",E361&lt;40,"Young Adulthood",E361&lt;60,"Middle Adulthood",E361&gt;=60,"Older Adulthood")</f>
        <v>Older Adulthood</v>
      </c>
      <c r="G361" s="1" t="s">
        <v>23</v>
      </c>
      <c r="H361" s="1" t="s">
        <v>28</v>
      </c>
      <c r="I361" s="1" t="s">
        <v>28</v>
      </c>
      <c r="J361" s="1" t="s">
        <v>28</v>
      </c>
      <c r="K361" s="1" t="s">
        <v>54</v>
      </c>
      <c r="L361" s="1">
        <v>1.8</v>
      </c>
      <c r="M361" s="1">
        <v>309.5</v>
      </c>
      <c r="N361" s="1">
        <v>3.15</v>
      </c>
      <c r="O361" s="1">
        <v>73</v>
      </c>
      <c r="P361" s="1">
        <v>1259</v>
      </c>
      <c r="Q361" s="1">
        <v>114.7</v>
      </c>
      <c r="R361" s="1">
        <v>108</v>
      </c>
      <c r="S361" s="1">
        <v>183</v>
      </c>
      <c r="T361" s="1">
        <v>10.4</v>
      </c>
      <c r="U361" s="1">
        <v>4</v>
      </c>
    </row>
    <row r="362" spans="1:21" x14ac:dyDescent="0.35">
      <c r="A362" s="1">
        <v>361</v>
      </c>
      <c r="B362" s="1">
        <v>617</v>
      </c>
      <c r="C362" s="1" t="s">
        <v>56</v>
      </c>
      <c r="D362" s="1" t="s">
        <v>28</v>
      </c>
      <c r="E362" s="2">
        <v>40.999315537303218</v>
      </c>
      <c r="F362" s="2" t="str" cm="1">
        <f t="array" ref="F362">_xlfn.IFS(E362&lt;25,"Under 25",E362&lt;40,"Young Adulthood",E362&lt;60,"Middle Adulthood",E362&gt;=60,"Older Adulthood")</f>
        <v>Middle Adulthood</v>
      </c>
      <c r="G362" s="1" t="s">
        <v>23</v>
      </c>
      <c r="H362" s="1" t="s">
        <v>28</v>
      </c>
      <c r="I362" s="1" t="s">
        <v>28</v>
      </c>
      <c r="J362" s="1" t="s">
        <v>28</v>
      </c>
      <c r="K362" s="1" t="s">
        <v>54</v>
      </c>
      <c r="L362" s="1">
        <v>5.5</v>
      </c>
      <c r="M362" s="1">
        <v>309.5</v>
      </c>
      <c r="N362" s="1">
        <v>2.31</v>
      </c>
      <c r="O362" s="1">
        <v>73</v>
      </c>
      <c r="P362" s="1">
        <v>1259</v>
      </c>
      <c r="Q362" s="1">
        <v>114.7</v>
      </c>
      <c r="R362" s="1">
        <v>108</v>
      </c>
      <c r="S362" s="1">
        <v>517</v>
      </c>
      <c r="T362" s="1">
        <v>10.4</v>
      </c>
      <c r="U362" s="1">
        <v>4</v>
      </c>
    </row>
    <row r="363" spans="1:21" x14ac:dyDescent="0.35">
      <c r="A363" s="1">
        <v>362</v>
      </c>
      <c r="B363" s="1">
        <v>2267</v>
      </c>
      <c r="C363" s="1" t="s">
        <v>56</v>
      </c>
      <c r="D363" s="1" t="s">
        <v>28</v>
      </c>
      <c r="E363" s="2">
        <v>48.999315537303218</v>
      </c>
      <c r="F363" s="2" t="str" cm="1">
        <f t="array" ref="F363">_xlfn.IFS(E363&lt;25,"Under 25",E363&lt;40,"Young Adulthood",E363&lt;60,"Middle Adulthood",E363&gt;=60,"Older Adulthood")</f>
        <v>Middle Adulthood</v>
      </c>
      <c r="G363" s="1" t="s">
        <v>23</v>
      </c>
      <c r="H363" s="1" t="s">
        <v>28</v>
      </c>
      <c r="I363" s="1" t="s">
        <v>28</v>
      </c>
      <c r="J363" s="1" t="s">
        <v>28</v>
      </c>
      <c r="K363" s="1" t="s">
        <v>54</v>
      </c>
      <c r="L363" s="1">
        <v>18</v>
      </c>
      <c r="M363" s="1">
        <v>309.5</v>
      </c>
      <c r="N363" s="1">
        <v>3.04</v>
      </c>
      <c r="O363" s="1">
        <v>73</v>
      </c>
      <c r="P363" s="1">
        <v>1259</v>
      </c>
      <c r="Q363" s="1">
        <v>114.7</v>
      </c>
      <c r="R363" s="1">
        <v>108</v>
      </c>
      <c r="S363" s="1">
        <v>432</v>
      </c>
      <c r="T363" s="1">
        <v>9.6999999999999993</v>
      </c>
      <c r="U363" s="1">
        <v>2</v>
      </c>
    </row>
    <row r="364" spans="1:21" x14ac:dyDescent="0.35">
      <c r="A364" s="1">
        <v>363</v>
      </c>
      <c r="B364" s="1">
        <v>2249</v>
      </c>
      <c r="C364" s="1" t="s">
        <v>52</v>
      </c>
      <c r="D364" s="1" t="s">
        <v>28</v>
      </c>
      <c r="E364" s="2">
        <v>44</v>
      </c>
      <c r="F364" s="2" t="str" cm="1">
        <f t="array" ref="F364">_xlfn.IFS(E364&lt;25,"Under 25",E364&lt;40,"Young Adulthood",E364&lt;60,"Middle Adulthood",E364&gt;=60,"Older Adulthood")</f>
        <v>Middle Adulthood</v>
      </c>
      <c r="G364" s="1" t="s">
        <v>23</v>
      </c>
      <c r="H364" s="1" t="s">
        <v>28</v>
      </c>
      <c r="I364" s="1" t="s">
        <v>28</v>
      </c>
      <c r="J364" s="1" t="s">
        <v>28</v>
      </c>
      <c r="K364" s="1" t="s">
        <v>54</v>
      </c>
      <c r="L364" s="1">
        <v>0.6</v>
      </c>
      <c r="M364" s="1">
        <v>309.5</v>
      </c>
      <c r="N364" s="1">
        <v>3.5</v>
      </c>
      <c r="O364" s="1">
        <v>73</v>
      </c>
      <c r="P364" s="1">
        <v>1259</v>
      </c>
      <c r="Q364" s="1">
        <v>114.7</v>
      </c>
      <c r="R364" s="1">
        <v>108</v>
      </c>
      <c r="S364" s="1">
        <v>150</v>
      </c>
      <c r="T364" s="1">
        <v>9.9</v>
      </c>
      <c r="U364" s="1">
        <v>3</v>
      </c>
    </row>
    <row r="365" spans="1:21" x14ac:dyDescent="0.35">
      <c r="A365" s="1">
        <v>364</v>
      </c>
      <c r="B365" s="1">
        <v>359</v>
      </c>
      <c r="C365" s="1" t="s">
        <v>49</v>
      </c>
      <c r="D365" s="1" t="s">
        <v>28</v>
      </c>
      <c r="E365" s="2">
        <v>59.000684462696782</v>
      </c>
      <c r="F365" s="2" t="str" cm="1">
        <f t="array" ref="F365">_xlfn.IFS(E365&lt;25,"Under 25",E365&lt;40,"Young Adulthood",E365&lt;60,"Middle Adulthood",E365&gt;=60,"Older Adulthood")</f>
        <v>Middle Adulthood</v>
      </c>
      <c r="G365" s="1" t="s">
        <v>23</v>
      </c>
      <c r="H365" s="1" t="s">
        <v>28</v>
      </c>
      <c r="I365" s="1" t="s">
        <v>28</v>
      </c>
      <c r="J365" s="1" t="s">
        <v>28</v>
      </c>
      <c r="K365" s="1" t="s">
        <v>54</v>
      </c>
      <c r="L365" s="1">
        <v>2.7</v>
      </c>
      <c r="M365" s="1">
        <v>309.5</v>
      </c>
      <c r="N365" s="1">
        <v>3.35</v>
      </c>
      <c r="O365" s="1">
        <v>73</v>
      </c>
      <c r="P365" s="1">
        <v>1259</v>
      </c>
      <c r="Q365" s="1">
        <v>114.7</v>
      </c>
      <c r="R365" s="1">
        <v>108</v>
      </c>
      <c r="S365" s="1">
        <v>142</v>
      </c>
      <c r="T365" s="1">
        <v>11.5</v>
      </c>
      <c r="U365" s="1">
        <v>4</v>
      </c>
    </row>
    <row r="366" spans="1:21" x14ac:dyDescent="0.35">
      <c r="A366" s="1">
        <v>365</v>
      </c>
      <c r="B366" s="1">
        <v>1925</v>
      </c>
      <c r="C366" s="1" t="s">
        <v>52</v>
      </c>
      <c r="D366" s="1" t="s">
        <v>28</v>
      </c>
      <c r="E366" s="2">
        <v>63.000684462696782</v>
      </c>
      <c r="F366" s="2" t="str" cm="1">
        <f t="array" ref="F366">_xlfn.IFS(E366&lt;25,"Under 25",E366&lt;40,"Young Adulthood",E366&lt;60,"Middle Adulthood",E366&gt;=60,"Older Adulthood")</f>
        <v>Older Adulthood</v>
      </c>
      <c r="G366" s="1" t="s">
        <v>23</v>
      </c>
      <c r="H366" s="1" t="s">
        <v>28</v>
      </c>
      <c r="I366" s="1" t="s">
        <v>28</v>
      </c>
      <c r="J366" s="1" t="s">
        <v>28</v>
      </c>
      <c r="K366" s="1" t="s">
        <v>54</v>
      </c>
      <c r="L366" s="1">
        <v>0.9</v>
      </c>
      <c r="M366" s="1">
        <v>309.5</v>
      </c>
      <c r="N366" s="1">
        <v>3.58</v>
      </c>
      <c r="O366" s="1">
        <v>73</v>
      </c>
      <c r="P366" s="1">
        <v>1259</v>
      </c>
      <c r="Q366" s="1">
        <v>114.7</v>
      </c>
      <c r="R366" s="1">
        <v>108</v>
      </c>
      <c r="S366" s="1">
        <v>224</v>
      </c>
      <c r="T366" s="1">
        <v>10</v>
      </c>
      <c r="U366" s="1">
        <v>3</v>
      </c>
    </row>
    <row r="367" spans="1:21" x14ac:dyDescent="0.35">
      <c r="A367" s="1">
        <v>366</v>
      </c>
      <c r="B367" s="1">
        <v>249</v>
      </c>
      <c r="C367" s="1" t="s">
        <v>49</v>
      </c>
      <c r="D367" s="1" t="s">
        <v>28</v>
      </c>
      <c r="E367" s="2">
        <v>60.999315537303218</v>
      </c>
      <c r="F367" s="2" t="str" cm="1">
        <f t="array" ref="F367">_xlfn.IFS(E367&lt;25,"Under 25",E367&lt;40,"Young Adulthood",E367&lt;60,"Middle Adulthood",E367&gt;=60,"Older Adulthood")</f>
        <v>Older Adulthood</v>
      </c>
      <c r="G367" s="1" t="s">
        <v>23</v>
      </c>
      <c r="H367" s="1" t="s">
        <v>28</v>
      </c>
      <c r="I367" s="1" t="s">
        <v>28</v>
      </c>
      <c r="J367" s="1" t="s">
        <v>28</v>
      </c>
      <c r="K367" s="1" t="s">
        <v>54</v>
      </c>
      <c r="L367" s="1">
        <v>1.3</v>
      </c>
      <c r="M367" s="1">
        <v>309.5</v>
      </c>
      <c r="N367" s="1">
        <v>3.01</v>
      </c>
      <c r="O367" s="1">
        <v>73</v>
      </c>
      <c r="P367" s="1">
        <v>1259</v>
      </c>
      <c r="Q367" s="1">
        <v>114.7</v>
      </c>
      <c r="R367" s="1">
        <v>108</v>
      </c>
      <c r="S367" s="1">
        <v>223</v>
      </c>
      <c r="T367" s="1">
        <v>10.7</v>
      </c>
      <c r="U367" s="1">
        <v>3</v>
      </c>
    </row>
    <row r="368" spans="1:21" x14ac:dyDescent="0.35">
      <c r="A368" s="1">
        <v>367</v>
      </c>
      <c r="B368" s="1">
        <v>2202</v>
      </c>
      <c r="C368" s="1" t="s">
        <v>52</v>
      </c>
      <c r="D368" s="1" t="s">
        <v>28</v>
      </c>
      <c r="E368" s="2">
        <v>64</v>
      </c>
      <c r="F368" s="2" t="str" cm="1">
        <f t="array" ref="F368">_xlfn.IFS(E368&lt;25,"Under 25",E368&lt;40,"Young Adulthood",E368&lt;60,"Middle Adulthood",E368&gt;=60,"Older Adulthood")</f>
        <v>Older Adulthood</v>
      </c>
      <c r="G368" s="1" t="s">
        <v>23</v>
      </c>
      <c r="H368" s="1" t="s">
        <v>28</v>
      </c>
      <c r="I368" s="1" t="s">
        <v>28</v>
      </c>
      <c r="J368" s="1" t="s">
        <v>28</v>
      </c>
      <c r="K368" s="1" t="s">
        <v>54</v>
      </c>
      <c r="L368" s="1">
        <v>1.1000000000000001</v>
      </c>
      <c r="M368" s="1">
        <v>309.5</v>
      </c>
      <c r="N368" s="1">
        <v>3.49</v>
      </c>
      <c r="O368" s="1">
        <v>73</v>
      </c>
      <c r="P368" s="1">
        <v>1259</v>
      </c>
      <c r="Q368" s="1">
        <v>114.7</v>
      </c>
      <c r="R368" s="1">
        <v>108</v>
      </c>
      <c r="S368" s="1">
        <v>166</v>
      </c>
      <c r="T368" s="1">
        <v>9.8000000000000007</v>
      </c>
      <c r="U368" s="1">
        <v>3</v>
      </c>
    </row>
    <row r="369" spans="1:21" x14ac:dyDescent="0.35">
      <c r="A369" s="1">
        <v>368</v>
      </c>
      <c r="B369" s="1">
        <v>43</v>
      </c>
      <c r="C369" s="1" t="s">
        <v>49</v>
      </c>
      <c r="D369" s="1" t="s">
        <v>28</v>
      </c>
      <c r="E369" s="2">
        <v>48.999315537303218</v>
      </c>
      <c r="F369" s="2" t="str" cm="1">
        <f t="array" ref="F369">_xlfn.IFS(E369&lt;25,"Under 25",E369&lt;40,"Young Adulthood",E369&lt;60,"Middle Adulthood",E369&gt;=60,"Older Adulthood")</f>
        <v>Middle Adulthood</v>
      </c>
      <c r="G369" s="1" t="s">
        <v>23</v>
      </c>
      <c r="H369" s="1" t="s">
        <v>28</v>
      </c>
      <c r="I369" s="1" t="s">
        <v>28</v>
      </c>
      <c r="J369" s="1" t="s">
        <v>28</v>
      </c>
      <c r="K369" s="1" t="s">
        <v>54</v>
      </c>
      <c r="L369" s="1">
        <v>13.8</v>
      </c>
      <c r="M369" s="1">
        <v>309.5</v>
      </c>
      <c r="N369" s="1">
        <v>2.77</v>
      </c>
      <c r="O369" s="1">
        <v>73</v>
      </c>
      <c r="P369" s="1">
        <v>1259</v>
      </c>
      <c r="Q369" s="1">
        <v>114.7</v>
      </c>
      <c r="R369" s="1">
        <v>108</v>
      </c>
      <c r="S369" s="1">
        <v>388</v>
      </c>
      <c r="T369" s="1">
        <v>10.6</v>
      </c>
      <c r="U369" s="1">
        <v>4</v>
      </c>
    </row>
    <row r="370" spans="1:21" x14ac:dyDescent="0.35">
      <c r="A370" s="1">
        <v>369</v>
      </c>
      <c r="B370" s="1">
        <v>1197</v>
      </c>
      <c r="C370" s="1" t="s">
        <v>49</v>
      </c>
      <c r="D370" s="1" t="s">
        <v>28</v>
      </c>
      <c r="E370" s="2">
        <v>42.001368925393564</v>
      </c>
      <c r="F370" s="2" t="str" cm="1">
        <f t="array" ref="F370">_xlfn.IFS(E370&lt;25,"Under 25",E370&lt;40,"Young Adulthood",E370&lt;60,"Middle Adulthood",E370&gt;=60,"Older Adulthood")</f>
        <v>Middle Adulthood</v>
      </c>
      <c r="G370" s="1" t="s">
        <v>23</v>
      </c>
      <c r="H370" s="1" t="s">
        <v>28</v>
      </c>
      <c r="I370" s="1" t="s">
        <v>28</v>
      </c>
      <c r="J370" s="1" t="s">
        <v>28</v>
      </c>
      <c r="K370" s="1" t="s">
        <v>54</v>
      </c>
      <c r="L370" s="1">
        <v>4.4000000000000004</v>
      </c>
      <c r="M370" s="1">
        <v>309.5</v>
      </c>
      <c r="N370" s="1">
        <v>4.5199999999999996</v>
      </c>
      <c r="O370" s="1">
        <v>73</v>
      </c>
      <c r="P370" s="1">
        <v>1259</v>
      </c>
      <c r="Q370" s="1">
        <v>114.7</v>
      </c>
      <c r="R370" s="1">
        <v>108</v>
      </c>
      <c r="S370" s="1">
        <v>102</v>
      </c>
      <c r="T370" s="1">
        <v>10.8</v>
      </c>
      <c r="U370" s="1">
        <v>4</v>
      </c>
    </row>
    <row r="371" spans="1:21" x14ac:dyDescent="0.35">
      <c r="A371" s="1">
        <v>370</v>
      </c>
      <c r="B371" s="1">
        <v>1095</v>
      </c>
      <c r="C371" s="1" t="s">
        <v>49</v>
      </c>
      <c r="D371" s="1" t="s">
        <v>28</v>
      </c>
      <c r="E371" s="2">
        <v>50.001368925393564</v>
      </c>
      <c r="F371" s="2" t="str" cm="1">
        <f t="array" ref="F371">_xlfn.IFS(E371&lt;25,"Under 25",E371&lt;40,"Young Adulthood",E371&lt;60,"Middle Adulthood",E371&gt;=60,"Older Adulthood")</f>
        <v>Middle Adulthood</v>
      </c>
      <c r="G371" s="1" t="s">
        <v>23</v>
      </c>
      <c r="H371" s="1" t="s">
        <v>28</v>
      </c>
      <c r="I371" s="1" t="s">
        <v>28</v>
      </c>
      <c r="J371" s="1" t="s">
        <v>28</v>
      </c>
      <c r="K371" s="1" t="s">
        <v>54</v>
      </c>
      <c r="L371" s="1">
        <v>16</v>
      </c>
      <c r="M371" s="1">
        <v>309.5</v>
      </c>
      <c r="N371" s="1">
        <v>3.36</v>
      </c>
      <c r="O371" s="1">
        <v>73</v>
      </c>
      <c r="P371" s="1">
        <v>1259</v>
      </c>
      <c r="Q371" s="1">
        <v>114.7</v>
      </c>
      <c r="R371" s="1">
        <v>108</v>
      </c>
      <c r="S371" s="1">
        <v>384</v>
      </c>
      <c r="T371" s="1">
        <v>10</v>
      </c>
      <c r="U371" s="1">
        <v>3</v>
      </c>
    </row>
    <row r="372" spans="1:21" x14ac:dyDescent="0.35">
      <c r="A372" s="1">
        <v>371</v>
      </c>
      <c r="B372" s="1">
        <v>489</v>
      </c>
      <c r="C372" s="1" t="s">
        <v>49</v>
      </c>
      <c r="D372" s="1" t="s">
        <v>28</v>
      </c>
      <c r="E372" s="2">
        <v>51.000684462696782</v>
      </c>
      <c r="F372" s="2" t="str" cm="1">
        <f t="array" ref="F372">_xlfn.IFS(E372&lt;25,"Under 25",E372&lt;40,"Young Adulthood",E372&lt;60,"Middle Adulthood",E372&gt;=60,"Older Adulthood")</f>
        <v>Middle Adulthood</v>
      </c>
      <c r="G372" s="1" t="s">
        <v>23</v>
      </c>
      <c r="H372" s="1" t="s">
        <v>28</v>
      </c>
      <c r="I372" s="1" t="s">
        <v>28</v>
      </c>
      <c r="J372" s="1" t="s">
        <v>28</v>
      </c>
      <c r="K372" s="1" t="s">
        <v>55</v>
      </c>
      <c r="L372" s="1">
        <v>7.3</v>
      </c>
      <c r="M372" s="1">
        <v>309.5</v>
      </c>
      <c r="N372" s="1">
        <v>3.52</v>
      </c>
      <c r="O372" s="1">
        <v>73</v>
      </c>
      <c r="P372" s="1">
        <v>1259</v>
      </c>
      <c r="Q372" s="1">
        <v>114.7</v>
      </c>
      <c r="R372" s="1">
        <v>108</v>
      </c>
      <c r="S372" s="1">
        <v>265</v>
      </c>
      <c r="T372" s="1">
        <v>11.1</v>
      </c>
      <c r="U372" s="1">
        <v>1</v>
      </c>
    </row>
    <row r="373" spans="1:21" x14ac:dyDescent="0.35">
      <c r="A373" s="1">
        <v>372</v>
      </c>
      <c r="B373" s="1">
        <v>2149</v>
      </c>
      <c r="C373" s="1" t="s">
        <v>52</v>
      </c>
      <c r="D373" s="1" t="s">
        <v>28</v>
      </c>
      <c r="E373" s="2">
        <v>36.999315537303218</v>
      </c>
      <c r="F373" s="2" t="str" cm="1">
        <f t="array" ref="F373">_xlfn.IFS(E373&lt;25,"Under 25",E373&lt;40,"Young Adulthood",E373&lt;60,"Middle Adulthood",E373&gt;=60,"Older Adulthood")</f>
        <v>Young Adulthood</v>
      </c>
      <c r="G373" s="1" t="s">
        <v>23</v>
      </c>
      <c r="H373" s="1" t="s">
        <v>28</v>
      </c>
      <c r="I373" s="1" t="s">
        <v>28</v>
      </c>
      <c r="J373" s="1" t="s">
        <v>28</v>
      </c>
      <c r="K373" s="1" t="s">
        <v>54</v>
      </c>
      <c r="L373" s="1">
        <v>0.6</v>
      </c>
      <c r="M373" s="1">
        <v>309.5</v>
      </c>
      <c r="N373" s="1">
        <v>3.55</v>
      </c>
      <c r="O373" s="1">
        <v>73</v>
      </c>
      <c r="P373" s="1">
        <v>1259</v>
      </c>
      <c r="Q373" s="1">
        <v>114.7</v>
      </c>
      <c r="R373" s="1">
        <v>108</v>
      </c>
      <c r="S373" s="1">
        <v>248</v>
      </c>
      <c r="T373" s="1">
        <v>10.3</v>
      </c>
      <c r="U373" s="1">
        <v>2</v>
      </c>
    </row>
    <row r="374" spans="1:21" x14ac:dyDescent="0.35">
      <c r="A374" s="1">
        <v>373</v>
      </c>
      <c r="B374" s="1">
        <v>2103</v>
      </c>
      <c r="C374" s="1" t="s">
        <v>52</v>
      </c>
      <c r="D374" s="1" t="s">
        <v>28</v>
      </c>
      <c r="E374" s="2">
        <v>62.001368925393564</v>
      </c>
      <c r="F374" s="2" t="str" cm="1">
        <f t="array" ref="F374">_xlfn.IFS(E374&lt;25,"Under 25",E374&lt;40,"Young Adulthood",E374&lt;60,"Middle Adulthood",E374&gt;=60,"Older Adulthood")</f>
        <v>Older Adulthood</v>
      </c>
      <c r="G374" s="1" t="s">
        <v>23</v>
      </c>
      <c r="H374" s="1" t="s">
        <v>28</v>
      </c>
      <c r="I374" s="1" t="s">
        <v>28</v>
      </c>
      <c r="J374" s="1" t="s">
        <v>28</v>
      </c>
      <c r="K374" s="1" t="s">
        <v>54</v>
      </c>
      <c r="L374" s="1">
        <v>0.7</v>
      </c>
      <c r="M374" s="1">
        <v>309.5</v>
      </c>
      <c r="N374" s="1">
        <v>3.29</v>
      </c>
      <c r="O374" s="1">
        <v>73</v>
      </c>
      <c r="P374" s="1">
        <v>1259</v>
      </c>
      <c r="Q374" s="1">
        <v>114.7</v>
      </c>
      <c r="R374" s="1">
        <v>108</v>
      </c>
      <c r="S374" s="1">
        <v>190</v>
      </c>
      <c r="T374" s="1">
        <v>9.8000000000000007</v>
      </c>
      <c r="U374" s="1">
        <v>2</v>
      </c>
    </row>
    <row r="375" spans="1:21" x14ac:dyDescent="0.35">
      <c r="A375" s="1">
        <v>374</v>
      </c>
      <c r="B375" s="1">
        <v>1980</v>
      </c>
      <c r="C375" s="1" t="s">
        <v>52</v>
      </c>
      <c r="D375" s="1" t="s">
        <v>28</v>
      </c>
      <c r="E375" s="2">
        <v>51.000684462696782</v>
      </c>
      <c r="F375" s="2" t="str" cm="1">
        <f t="array" ref="F375">_xlfn.IFS(E375&lt;25,"Under 25",E375&lt;40,"Young Adulthood",E375&lt;60,"Middle Adulthood",E375&gt;=60,"Older Adulthood")</f>
        <v>Middle Adulthood</v>
      </c>
      <c r="G375" s="1" t="s">
        <v>23</v>
      </c>
      <c r="H375" s="1" t="s">
        <v>28</v>
      </c>
      <c r="I375" s="1" t="s">
        <v>28</v>
      </c>
      <c r="J375" s="1" t="s">
        <v>28</v>
      </c>
      <c r="K375" s="1" t="s">
        <v>54</v>
      </c>
      <c r="L375" s="1">
        <v>0.7</v>
      </c>
      <c r="M375" s="1">
        <v>309.5</v>
      </c>
      <c r="N375" s="1">
        <v>3.1</v>
      </c>
      <c r="O375" s="1">
        <v>73</v>
      </c>
      <c r="P375" s="1">
        <v>1259</v>
      </c>
      <c r="Q375" s="1">
        <v>114.7</v>
      </c>
      <c r="R375" s="1">
        <v>108</v>
      </c>
      <c r="S375" s="1">
        <v>274</v>
      </c>
      <c r="T375" s="1">
        <v>10.6</v>
      </c>
      <c r="U375" s="1">
        <v>3</v>
      </c>
    </row>
    <row r="376" spans="1:21" x14ac:dyDescent="0.35">
      <c r="A376" s="1">
        <v>375</v>
      </c>
      <c r="B376" s="1">
        <v>1347</v>
      </c>
      <c r="C376" s="1" t="s">
        <v>56</v>
      </c>
      <c r="D376" s="1" t="s">
        <v>28</v>
      </c>
      <c r="E376" s="2">
        <v>52</v>
      </c>
      <c r="F376" s="2" t="str" cm="1">
        <f t="array" ref="F376">_xlfn.IFS(E376&lt;25,"Under 25",E376&lt;40,"Young Adulthood",E376&lt;60,"Middle Adulthood",E376&gt;=60,"Older Adulthood")</f>
        <v>Middle Adulthood</v>
      </c>
      <c r="G376" s="1" t="s">
        <v>23</v>
      </c>
      <c r="H376" s="1" t="s">
        <v>28</v>
      </c>
      <c r="I376" s="1" t="s">
        <v>28</v>
      </c>
      <c r="J376" s="1" t="s">
        <v>28</v>
      </c>
      <c r="K376" s="1" t="s">
        <v>54</v>
      </c>
      <c r="L376" s="1">
        <v>1.7</v>
      </c>
      <c r="M376" s="1">
        <v>309.5</v>
      </c>
      <c r="N376" s="1">
        <v>3.24</v>
      </c>
      <c r="O376" s="1">
        <v>73</v>
      </c>
      <c r="P376" s="1">
        <v>1259</v>
      </c>
      <c r="Q376" s="1">
        <v>114.7</v>
      </c>
      <c r="R376" s="1">
        <v>108</v>
      </c>
      <c r="S376" s="1">
        <v>231</v>
      </c>
      <c r="T376" s="1">
        <v>10.5</v>
      </c>
      <c r="U376" s="1">
        <v>3</v>
      </c>
    </row>
    <row r="377" spans="1:21" x14ac:dyDescent="0.35">
      <c r="A377" s="1">
        <v>376</v>
      </c>
      <c r="B377" s="1">
        <v>1478</v>
      </c>
      <c r="C377" s="1" t="s">
        <v>49</v>
      </c>
      <c r="D377" s="1" t="s">
        <v>28</v>
      </c>
      <c r="E377" s="2">
        <v>44</v>
      </c>
      <c r="F377" s="2" t="str" cm="1">
        <f t="array" ref="F377">_xlfn.IFS(E377&lt;25,"Under 25",E377&lt;40,"Young Adulthood",E377&lt;60,"Middle Adulthood",E377&gt;=60,"Older Adulthood")</f>
        <v>Middle Adulthood</v>
      </c>
      <c r="G377" s="1" t="s">
        <v>25</v>
      </c>
      <c r="H377" s="1" t="s">
        <v>28</v>
      </c>
      <c r="I377" s="1" t="s">
        <v>28</v>
      </c>
      <c r="J377" s="1" t="s">
        <v>28</v>
      </c>
      <c r="K377" s="1" t="s">
        <v>54</v>
      </c>
      <c r="L377" s="1">
        <v>9.5</v>
      </c>
      <c r="M377" s="1">
        <v>309.5</v>
      </c>
      <c r="N377" s="1">
        <v>3.63</v>
      </c>
      <c r="O377" s="1">
        <v>73</v>
      </c>
      <c r="P377" s="1">
        <v>1259</v>
      </c>
      <c r="Q377" s="1">
        <v>114.7</v>
      </c>
      <c r="R377" s="1">
        <v>108</v>
      </c>
      <c r="S377" s="1">
        <v>292</v>
      </c>
      <c r="T377" s="1">
        <v>10.199999999999999</v>
      </c>
      <c r="U377" s="1">
        <v>3</v>
      </c>
    </row>
    <row r="378" spans="1:21" x14ac:dyDescent="0.35">
      <c r="A378" s="1">
        <v>377</v>
      </c>
      <c r="B378" s="1">
        <v>1987</v>
      </c>
      <c r="C378" s="1" t="s">
        <v>52</v>
      </c>
      <c r="D378" s="1" t="s">
        <v>28</v>
      </c>
      <c r="E378" s="2">
        <v>32.999315537303218</v>
      </c>
      <c r="F378" s="2" t="str" cm="1">
        <f t="array" ref="F378">_xlfn.IFS(E378&lt;25,"Under 25",E378&lt;40,"Young Adulthood",E378&lt;60,"Middle Adulthood",E378&gt;=60,"Older Adulthood")</f>
        <v>Young Adulthood</v>
      </c>
      <c r="G378" s="1" t="s">
        <v>23</v>
      </c>
      <c r="H378" s="1" t="s">
        <v>28</v>
      </c>
      <c r="I378" s="1" t="s">
        <v>28</v>
      </c>
      <c r="J378" s="1" t="s">
        <v>28</v>
      </c>
      <c r="K378" s="1" t="s">
        <v>54</v>
      </c>
      <c r="L378" s="1">
        <v>2.2000000000000002</v>
      </c>
      <c r="M378" s="1">
        <v>309.5</v>
      </c>
      <c r="N378" s="1">
        <v>3.76</v>
      </c>
      <c r="O378" s="1">
        <v>73</v>
      </c>
      <c r="P378" s="1">
        <v>1259</v>
      </c>
      <c r="Q378" s="1">
        <v>114.7</v>
      </c>
      <c r="R378" s="1">
        <v>108</v>
      </c>
      <c r="S378" s="1">
        <v>253</v>
      </c>
      <c r="T378" s="1">
        <v>9.9</v>
      </c>
      <c r="U378" s="1">
        <v>3</v>
      </c>
    </row>
    <row r="379" spans="1:21" x14ac:dyDescent="0.35">
      <c r="A379" s="1">
        <v>378</v>
      </c>
      <c r="B379" s="1">
        <v>1168</v>
      </c>
      <c r="C379" s="1" t="s">
        <v>49</v>
      </c>
      <c r="D379" s="1" t="s">
        <v>28</v>
      </c>
      <c r="E379" s="2">
        <v>60</v>
      </c>
      <c r="F379" s="2" t="str" cm="1">
        <f t="array" ref="F379">_xlfn.IFS(E379&lt;25,"Under 25",E379&lt;40,"Young Adulthood",E379&lt;60,"Middle Adulthood",E379&gt;=60,"Older Adulthood")</f>
        <v>Older Adulthood</v>
      </c>
      <c r="G379" s="1" t="s">
        <v>23</v>
      </c>
      <c r="H379" s="1" t="s">
        <v>28</v>
      </c>
      <c r="I379" s="1" t="s">
        <v>28</v>
      </c>
      <c r="J379" s="1" t="s">
        <v>28</v>
      </c>
      <c r="K379" s="1" t="s">
        <v>55</v>
      </c>
      <c r="L379" s="1">
        <v>1.8</v>
      </c>
      <c r="M379" s="1">
        <v>309.5</v>
      </c>
      <c r="N379" s="1">
        <v>3.62</v>
      </c>
      <c r="O379" s="1">
        <v>73</v>
      </c>
      <c r="P379" s="1">
        <v>1259</v>
      </c>
      <c r="Q379" s="1">
        <v>114.7</v>
      </c>
      <c r="R379" s="1">
        <v>108</v>
      </c>
      <c r="S379" s="1">
        <v>225</v>
      </c>
      <c r="T379" s="1">
        <v>9.9</v>
      </c>
      <c r="U379" s="1">
        <v>2</v>
      </c>
    </row>
    <row r="380" spans="1:21" x14ac:dyDescent="0.35">
      <c r="A380" s="1">
        <v>379</v>
      </c>
      <c r="B380" s="1">
        <v>597</v>
      </c>
      <c r="C380" s="1" t="s">
        <v>49</v>
      </c>
      <c r="D380" s="1" t="s">
        <v>28</v>
      </c>
      <c r="E380" s="2">
        <v>63.000684462696782</v>
      </c>
      <c r="F380" s="2" t="str" cm="1">
        <f t="array" ref="F380">_xlfn.IFS(E380&lt;25,"Under 25",E380&lt;40,"Young Adulthood",E380&lt;60,"Middle Adulthood",E380&gt;=60,"Older Adulthood")</f>
        <v>Older Adulthood</v>
      </c>
      <c r="G380" s="1" t="s">
        <v>23</v>
      </c>
      <c r="H380" s="1" t="s">
        <v>28</v>
      </c>
      <c r="I380" s="1" t="s">
        <v>28</v>
      </c>
      <c r="J380" s="1" t="s">
        <v>28</v>
      </c>
      <c r="K380" s="1" t="s">
        <v>55</v>
      </c>
      <c r="L380" s="1">
        <v>3.3</v>
      </c>
      <c r="M380" s="1">
        <v>309.5</v>
      </c>
      <c r="N380" s="1">
        <v>2.73</v>
      </c>
      <c r="O380" s="1">
        <v>73</v>
      </c>
      <c r="P380" s="1">
        <v>1259</v>
      </c>
      <c r="Q380" s="1">
        <v>114.7</v>
      </c>
      <c r="R380" s="1">
        <v>108</v>
      </c>
      <c r="S380" s="1">
        <v>224</v>
      </c>
      <c r="T380" s="1">
        <v>11.1</v>
      </c>
      <c r="U380" s="1">
        <v>4</v>
      </c>
    </row>
    <row r="381" spans="1:21" x14ac:dyDescent="0.35">
      <c r="A381" s="1">
        <v>380</v>
      </c>
      <c r="B381" s="1">
        <v>1725</v>
      </c>
      <c r="C381" s="1" t="s">
        <v>56</v>
      </c>
      <c r="D381" s="1" t="s">
        <v>28</v>
      </c>
      <c r="E381" s="2">
        <v>32.999315537303218</v>
      </c>
      <c r="F381" s="2" t="str" cm="1">
        <f t="array" ref="F381">_xlfn.IFS(E381&lt;25,"Under 25",E381&lt;40,"Young Adulthood",E381&lt;60,"Middle Adulthood",E381&gt;=60,"Older Adulthood")</f>
        <v>Young Adulthood</v>
      </c>
      <c r="G381" s="1" t="s">
        <v>23</v>
      </c>
      <c r="H381" s="1" t="s">
        <v>28</v>
      </c>
      <c r="I381" s="1" t="s">
        <v>28</v>
      </c>
      <c r="J381" s="1" t="s">
        <v>28</v>
      </c>
      <c r="K381" s="1" t="s">
        <v>54</v>
      </c>
      <c r="L381" s="1">
        <v>2.9</v>
      </c>
      <c r="M381" s="1">
        <v>309.5</v>
      </c>
      <c r="N381" s="1">
        <v>4.08</v>
      </c>
      <c r="O381" s="1">
        <v>73</v>
      </c>
      <c r="P381" s="1">
        <v>1259</v>
      </c>
      <c r="Q381" s="1">
        <v>114.7</v>
      </c>
      <c r="R381" s="1">
        <v>108</v>
      </c>
      <c r="S381" s="1">
        <v>418</v>
      </c>
      <c r="T381" s="1">
        <v>10.5</v>
      </c>
      <c r="U381" s="1">
        <v>3</v>
      </c>
    </row>
    <row r="382" spans="1:21" x14ac:dyDescent="0.35">
      <c r="A382" s="1">
        <v>381</v>
      </c>
      <c r="B382" s="1">
        <v>1899</v>
      </c>
      <c r="C382" s="1" t="s">
        <v>52</v>
      </c>
      <c r="D382" s="1" t="s">
        <v>28</v>
      </c>
      <c r="E382" s="2">
        <v>40.999315537303218</v>
      </c>
      <c r="F382" s="2" t="str" cm="1">
        <f t="array" ref="F382">_xlfn.IFS(E382&lt;25,"Under 25",E382&lt;40,"Young Adulthood",E382&lt;60,"Middle Adulthood",E382&gt;=60,"Older Adulthood")</f>
        <v>Middle Adulthood</v>
      </c>
      <c r="G382" s="1" t="s">
        <v>25</v>
      </c>
      <c r="H382" s="1" t="s">
        <v>28</v>
      </c>
      <c r="I382" s="1" t="s">
        <v>28</v>
      </c>
      <c r="J382" s="1" t="s">
        <v>28</v>
      </c>
      <c r="K382" s="1" t="s">
        <v>54</v>
      </c>
      <c r="L382" s="1">
        <v>1.7</v>
      </c>
      <c r="M382" s="1">
        <v>309.5</v>
      </c>
      <c r="N382" s="1">
        <v>3.66</v>
      </c>
      <c r="O382" s="1">
        <v>73</v>
      </c>
      <c r="P382" s="1">
        <v>1259</v>
      </c>
      <c r="Q382" s="1">
        <v>114.7</v>
      </c>
      <c r="R382" s="1">
        <v>108</v>
      </c>
      <c r="S382" s="1">
        <v>92</v>
      </c>
      <c r="T382" s="1">
        <v>11</v>
      </c>
      <c r="U382" s="1">
        <v>4</v>
      </c>
    </row>
    <row r="383" spans="1:21" x14ac:dyDescent="0.35">
      <c r="A383" s="1">
        <v>382</v>
      </c>
      <c r="B383" s="1">
        <v>221</v>
      </c>
      <c r="C383" s="1" t="s">
        <v>49</v>
      </c>
      <c r="D383" s="1" t="s">
        <v>28</v>
      </c>
      <c r="E383" s="2">
        <v>51.000684462696782</v>
      </c>
      <c r="F383" s="2" t="str" cm="1">
        <f t="array" ref="F383">_xlfn.IFS(E383&lt;25,"Under 25",E383&lt;40,"Young Adulthood",E383&lt;60,"Middle Adulthood",E383&gt;=60,"Older Adulthood")</f>
        <v>Middle Adulthood</v>
      </c>
      <c r="G383" s="1" t="s">
        <v>23</v>
      </c>
      <c r="H383" s="1" t="s">
        <v>28</v>
      </c>
      <c r="I383" s="1" t="s">
        <v>28</v>
      </c>
      <c r="J383" s="1" t="s">
        <v>28</v>
      </c>
      <c r="K383" s="1" t="s">
        <v>54</v>
      </c>
      <c r="L383" s="1">
        <v>14</v>
      </c>
      <c r="M383" s="1">
        <v>309.5</v>
      </c>
      <c r="N383" s="1">
        <v>2.58</v>
      </c>
      <c r="O383" s="1">
        <v>73</v>
      </c>
      <c r="P383" s="1">
        <v>1259</v>
      </c>
      <c r="Q383" s="1">
        <v>114.7</v>
      </c>
      <c r="R383" s="1">
        <v>108</v>
      </c>
      <c r="S383" s="1">
        <v>190</v>
      </c>
      <c r="T383" s="1">
        <v>11.6</v>
      </c>
      <c r="U383" s="1">
        <v>4</v>
      </c>
    </row>
    <row r="384" spans="1:21" x14ac:dyDescent="0.35">
      <c r="A384" s="1">
        <v>383</v>
      </c>
      <c r="B384" s="1">
        <v>1022</v>
      </c>
      <c r="C384" s="1" t="s">
        <v>56</v>
      </c>
      <c r="D384" s="1" t="s">
        <v>28</v>
      </c>
      <c r="E384" s="2">
        <v>36.999315537303218</v>
      </c>
      <c r="F384" s="2" t="str" cm="1">
        <f t="array" ref="F384">_xlfn.IFS(E384&lt;25,"Under 25",E384&lt;40,"Young Adulthood",E384&lt;60,"Middle Adulthood",E384&gt;=60,"Older Adulthood")</f>
        <v>Young Adulthood</v>
      </c>
      <c r="G384" s="1" t="s">
        <v>23</v>
      </c>
      <c r="H384" s="1" t="s">
        <v>28</v>
      </c>
      <c r="I384" s="1" t="s">
        <v>28</v>
      </c>
      <c r="J384" s="1" t="s">
        <v>28</v>
      </c>
      <c r="K384" s="1" t="s">
        <v>55</v>
      </c>
      <c r="L384" s="1">
        <v>0.8</v>
      </c>
      <c r="M384" s="1">
        <v>309.5</v>
      </c>
      <c r="N384" s="1">
        <v>3</v>
      </c>
      <c r="O384" s="1">
        <v>73</v>
      </c>
      <c r="P384" s="1">
        <v>1259</v>
      </c>
      <c r="Q384" s="1">
        <v>114.7</v>
      </c>
      <c r="R384" s="1">
        <v>108</v>
      </c>
      <c r="S384" s="1">
        <v>76</v>
      </c>
      <c r="T384" s="1">
        <v>10.8</v>
      </c>
      <c r="U384" s="1">
        <v>4</v>
      </c>
    </row>
    <row r="385" spans="1:21" x14ac:dyDescent="0.35">
      <c r="A385" s="1">
        <v>384</v>
      </c>
      <c r="B385" s="1">
        <v>1639</v>
      </c>
      <c r="C385" s="1" t="s">
        <v>52</v>
      </c>
      <c r="D385" s="1" t="s">
        <v>28</v>
      </c>
      <c r="E385" s="2">
        <v>59.000684462696782</v>
      </c>
      <c r="F385" s="2" t="str" cm="1">
        <f t="array" ref="F385">_xlfn.IFS(E385&lt;25,"Under 25",E385&lt;40,"Young Adulthood",E385&lt;60,"Middle Adulthood",E385&gt;=60,"Older Adulthood")</f>
        <v>Middle Adulthood</v>
      </c>
      <c r="G385" s="1" t="s">
        <v>23</v>
      </c>
      <c r="H385" s="1" t="s">
        <v>28</v>
      </c>
      <c r="I385" s="1" t="s">
        <v>28</v>
      </c>
      <c r="J385" s="1" t="s">
        <v>28</v>
      </c>
      <c r="K385" s="1" t="s">
        <v>54</v>
      </c>
      <c r="L385" s="1">
        <v>1.3</v>
      </c>
      <c r="M385" s="1">
        <v>309.5</v>
      </c>
      <c r="N385" s="1">
        <v>3.4</v>
      </c>
      <c r="O385" s="1">
        <v>73</v>
      </c>
      <c r="P385" s="1">
        <v>1259</v>
      </c>
      <c r="Q385" s="1">
        <v>114.7</v>
      </c>
      <c r="R385" s="1">
        <v>108</v>
      </c>
      <c r="S385" s="1">
        <v>243</v>
      </c>
      <c r="T385" s="1">
        <v>9.6999999999999993</v>
      </c>
      <c r="U385" s="1">
        <v>1</v>
      </c>
    </row>
    <row r="386" spans="1:21" x14ac:dyDescent="0.35">
      <c r="A386" s="1">
        <v>385</v>
      </c>
      <c r="B386" s="1">
        <v>1635</v>
      </c>
      <c r="C386" s="1" t="s">
        <v>52</v>
      </c>
      <c r="D386" s="1" t="s">
        <v>28</v>
      </c>
      <c r="E386" s="2">
        <v>55.000684462696782</v>
      </c>
      <c r="F386" s="2" t="str" cm="1">
        <f t="array" ref="F386">_xlfn.IFS(E386&lt;25,"Under 25",E386&lt;40,"Young Adulthood",E386&lt;60,"Middle Adulthood",E386&gt;=60,"Older Adulthood")</f>
        <v>Middle Adulthood</v>
      </c>
      <c r="G386" s="1" t="s">
        <v>23</v>
      </c>
      <c r="H386" s="1" t="s">
        <v>28</v>
      </c>
      <c r="I386" s="1" t="s">
        <v>28</v>
      </c>
      <c r="J386" s="1" t="s">
        <v>28</v>
      </c>
      <c r="K386" s="1" t="s">
        <v>54</v>
      </c>
      <c r="L386" s="1">
        <v>0.7</v>
      </c>
      <c r="M386" s="1">
        <v>309.5</v>
      </c>
      <c r="N386" s="1">
        <v>2.93</v>
      </c>
      <c r="O386" s="1">
        <v>73</v>
      </c>
      <c r="P386" s="1">
        <v>1259</v>
      </c>
      <c r="Q386" s="1">
        <v>114.7</v>
      </c>
      <c r="R386" s="1">
        <v>108</v>
      </c>
      <c r="S386" s="1">
        <v>209</v>
      </c>
      <c r="T386" s="1">
        <v>10.6</v>
      </c>
      <c r="U386" s="1">
        <v>3</v>
      </c>
    </row>
    <row r="387" spans="1:21" x14ac:dyDescent="0.35">
      <c r="A387" s="1">
        <v>386</v>
      </c>
      <c r="B387" s="1">
        <v>1654</v>
      </c>
      <c r="C387" s="1" t="s">
        <v>52</v>
      </c>
      <c r="D387" s="1" t="s">
        <v>28</v>
      </c>
      <c r="E387" s="2">
        <v>54.001368925393564</v>
      </c>
      <c r="F387" s="2" t="str" cm="1">
        <f t="array" ref="F387">_xlfn.IFS(E387&lt;25,"Under 25",E387&lt;40,"Young Adulthood",E387&lt;60,"Middle Adulthood",E387&gt;=60,"Older Adulthood")</f>
        <v>Middle Adulthood</v>
      </c>
      <c r="G387" s="1" t="s">
        <v>25</v>
      </c>
      <c r="H387" s="1" t="s">
        <v>28</v>
      </c>
      <c r="I387" s="1" t="s">
        <v>28</v>
      </c>
      <c r="J387" s="1" t="s">
        <v>28</v>
      </c>
      <c r="K387" s="1" t="s">
        <v>54</v>
      </c>
      <c r="L387" s="1">
        <v>1.7</v>
      </c>
      <c r="M387" s="1">
        <v>309.5</v>
      </c>
      <c r="N387" s="1">
        <v>2.38</v>
      </c>
      <c r="O387" s="1">
        <v>73</v>
      </c>
      <c r="P387" s="1">
        <v>1259</v>
      </c>
      <c r="Q387" s="1">
        <v>114.7</v>
      </c>
      <c r="R387" s="1">
        <v>108</v>
      </c>
      <c r="S387" s="1">
        <v>166</v>
      </c>
      <c r="T387" s="1">
        <v>9.8000000000000007</v>
      </c>
      <c r="U387" s="1">
        <v>3</v>
      </c>
    </row>
    <row r="388" spans="1:21" x14ac:dyDescent="0.35">
      <c r="A388" s="1">
        <v>387</v>
      </c>
      <c r="B388" s="1">
        <v>1653</v>
      </c>
      <c r="C388" s="1" t="s">
        <v>52</v>
      </c>
      <c r="D388" s="1" t="s">
        <v>28</v>
      </c>
      <c r="E388" s="2">
        <v>48.999315537303218</v>
      </c>
      <c r="F388" s="2" t="str" cm="1">
        <f t="array" ref="F388">_xlfn.IFS(E388&lt;25,"Under 25",E388&lt;40,"Young Adulthood",E388&lt;60,"Middle Adulthood",E388&gt;=60,"Older Adulthood")</f>
        <v>Middle Adulthood</v>
      </c>
      <c r="G388" s="1" t="s">
        <v>23</v>
      </c>
      <c r="H388" s="1" t="s">
        <v>28</v>
      </c>
      <c r="I388" s="1" t="s">
        <v>28</v>
      </c>
      <c r="J388" s="1" t="s">
        <v>28</v>
      </c>
      <c r="K388" s="1" t="s">
        <v>55</v>
      </c>
      <c r="L388" s="1">
        <v>13.6</v>
      </c>
      <c r="M388" s="1">
        <v>309.5</v>
      </c>
      <c r="N388" s="1">
        <v>3</v>
      </c>
      <c r="O388" s="1">
        <v>73</v>
      </c>
      <c r="P388" s="1">
        <v>1259</v>
      </c>
      <c r="Q388" s="1">
        <v>114.7</v>
      </c>
      <c r="R388" s="1">
        <v>108</v>
      </c>
      <c r="S388" s="1">
        <v>233</v>
      </c>
      <c r="T388" s="1">
        <v>9.9</v>
      </c>
      <c r="U388" s="1">
        <v>3</v>
      </c>
    </row>
    <row r="389" spans="1:21" x14ac:dyDescent="0.35">
      <c r="A389" s="1">
        <v>388</v>
      </c>
      <c r="B389" s="1">
        <v>1560</v>
      </c>
      <c r="C389" s="1" t="s">
        <v>52</v>
      </c>
      <c r="D389" s="1" t="s">
        <v>28</v>
      </c>
      <c r="E389" s="2">
        <v>40</v>
      </c>
      <c r="F389" s="2" t="str" cm="1">
        <f t="array" ref="F389">_xlfn.IFS(E389&lt;25,"Under 25",E389&lt;40,"Young Adulthood",E389&lt;60,"Middle Adulthood",E389&gt;=60,"Older Adulthood")</f>
        <v>Middle Adulthood</v>
      </c>
      <c r="G389" s="1" t="s">
        <v>23</v>
      </c>
      <c r="H389" s="1" t="s">
        <v>28</v>
      </c>
      <c r="I389" s="1" t="s">
        <v>28</v>
      </c>
      <c r="J389" s="1" t="s">
        <v>28</v>
      </c>
      <c r="K389" s="1" t="s">
        <v>54</v>
      </c>
      <c r="L389" s="1">
        <v>0.9</v>
      </c>
      <c r="M389" s="1">
        <v>309.5</v>
      </c>
      <c r="N389" s="1">
        <v>3.5</v>
      </c>
      <c r="O389" s="1">
        <v>73</v>
      </c>
      <c r="P389" s="1">
        <v>1259</v>
      </c>
      <c r="Q389" s="1">
        <v>114.7</v>
      </c>
      <c r="R389" s="1">
        <v>108</v>
      </c>
      <c r="S389" s="1">
        <v>117</v>
      </c>
      <c r="T389" s="1">
        <v>10.9</v>
      </c>
      <c r="U389" s="1">
        <v>4</v>
      </c>
    </row>
    <row r="390" spans="1:21" x14ac:dyDescent="0.35">
      <c r="A390" s="1">
        <v>389</v>
      </c>
      <c r="B390" s="1">
        <v>1581</v>
      </c>
      <c r="C390" s="1" t="s">
        <v>52</v>
      </c>
      <c r="D390" s="1" t="s">
        <v>28</v>
      </c>
      <c r="E390" s="2">
        <v>67.000684462696782</v>
      </c>
      <c r="F390" s="2" t="str" cm="1">
        <f t="array" ref="F390">_xlfn.IFS(E390&lt;25,"Under 25",E390&lt;40,"Young Adulthood",E390&lt;60,"Middle Adulthood",E390&gt;=60,"Older Adulthood")</f>
        <v>Older Adulthood</v>
      </c>
      <c r="G390" s="1" t="s">
        <v>23</v>
      </c>
      <c r="H390" s="1" t="s">
        <v>28</v>
      </c>
      <c r="I390" s="1" t="s">
        <v>28</v>
      </c>
      <c r="J390" s="1" t="s">
        <v>28</v>
      </c>
      <c r="K390" s="1" t="s">
        <v>54</v>
      </c>
      <c r="L390" s="1">
        <v>0.7</v>
      </c>
      <c r="M390" s="1">
        <v>309.5</v>
      </c>
      <c r="N390" s="1">
        <v>3.06</v>
      </c>
      <c r="O390" s="1">
        <v>73</v>
      </c>
      <c r="P390" s="1">
        <v>1259</v>
      </c>
      <c r="Q390" s="1">
        <v>114.7</v>
      </c>
      <c r="R390" s="1">
        <v>108</v>
      </c>
      <c r="S390" s="1">
        <v>165</v>
      </c>
      <c r="T390" s="1">
        <v>10</v>
      </c>
      <c r="U390" s="1">
        <v>4</v>
      </c>
    </row>
    <row r="391" spans="1:21" x14ac:dyDescent="0.35">
      <c r="A391" s="1">
        <v>390</v>
      </c>
      <c r="B391" s="1">
        <v>1419</v>
      </c>
      <c r="C391" s="1" t="s">
        <v>52</v>
      </c>
      <c r="D391" s="1" t="s">
        <v>28</v>
      </c>
      <c r="E391" s="2">
        <v>68</v>
      </c>
      <c r="F391" s="2" t="str" cm="1">
        <f t="array" ref="F391">_xlfn.IFS(E391&lt;25,"Under 25",E391&lt;40,"Young Adulthood",E391&lt;60,"Middle Adulthood",E391&gt;=60,"Older Adulthood")</f>
        <v>Older Adulthood</v>
      </c>
      <c r="G391" s="1" t="s">
        <v>25</v>
      </c>
      <c r="H391" s="1" t="s">
        <v>28</v>
      </c>
      <c r="I391" s="1" t="s">
        <v>28</v>
      </c>
      <c r="J391" s="1" t="s">
        <v>28</v>
      </c>
      <c r="K391" s="1" t="s">
        <v>54</v>
      </c>
      <c r="L391" s="1">
        <v>3</v>
      </c>
      <c r="M391" s="1">
        <v>309.5</v>
      </c>
      <c r="N391" s="1">
        <v>3.15</v>
      </c>
      <c r="O391" s="1">
        <v>73</v>
      </c>
      <c r="P391" s="1">
        <v>1259</v>
      </c>
      <c r="Q391" s="1">
        <v>114.7</v>
      </c>
      <c r="R391" s="1">
        <v>108</v>
      </c>
      <c r="S391" s="1">
        <v>139</v>
      </c>
      <c r="T391" s="1">
        <v>10</v>
      </c>
      <c r="U391" s="1">
        <v>3</v>
      </c>
    </row>
    <row r="392" spans="1:21" x14ac:dyDescent="0.35">
      <c r="A392" s="1">
        <v>391</v>
      </c>
      <c r="B392" s="1">
        <v>1443</v>
      </c>
      <c r="C392" s="1" t="s">
        <v>52</v>
      </c>
      <c r="D392" s="1" t="s">
        <v>28</v>
      </c>
      <c r="E392" s="2">
        <v>40.999315537303218</v>
      </c>
      <c r="F392" s="2" t="str" cm="1">
        <f t="array" ref="F392">_xlfn.IFS(E392&lt;25,"Under 25",E392&lt;40,"Young Adulthood",E392&lt;60,"Middle Adulthood",E392&gt;=60,"Older Adulthood")</f>
        <v>Middle Adulthood</v>
      </c>
      <c r="G392" s="1" t="s">
        <v>23</v>
      </c>
      <c r="H392" s="1" t="s">
        <v>28</v>
      </c>
      <c r="I392" s="1" t="s">
        <v>28</v>
      </c>
      <c r="J392" s="1" t="s">
        <v>28</v>
      </c>
      <c r="K392" s="1" t="s">
        <v>54</v>
      </c>
      <c r="L392" s="1">
        <v>1.2</v>
      </c>
      <c r="M392" s="1">
        <v>309.5</v>
      </c>
      <c r="N392" s="1">
        <v>2.8</v>
      </c>
      <c r="O392" s="1">
        <v>73</v>
      </c>
      <c r="P392" s="1">
        <v>1259</v>
      </c>
      <c r="Q392" s="1">
        <v>114.7</v>
      </c>
      <c r="R392" s="1">
        <v>108</v>
      </c>
      <c r="S392" s="1">
        <v>120</v>
      </c>
      <c r="T392" s="1">
        <v>11</v>
      </c>
      <c r="U392" s="1">
        <v>2</v>
      </c>
    </row>
    <row r="393" spans="1:21" x14ac:dyDescent="0.35">
      <c r="A393" s="1">
        <v>392</v>
      </c>
      <c r="B393" s="1">
        <v>1368</v>
      </c>
      <c r="C393" s="1" t="s">
        <v>52</v>
      </c>
      <c r="D393" s="1" t="s">
        <v>28</v>
      </c>
      <c r="E393" s="2">
        <v>68.999315537303218</v>
      </c>
      <c r="F393" s="2" t="str" cm="1">
        <f t="array" ref="F393">_xlfn.IFS(E393&lt;25,"Under 25",E393&lt;40,"Young Adulthood",E393&lt;60,"Middle Adulthood",E393&gt;=60,"Older Adulthood")</f>
        <v>Older Adulthood</v>
      </c>
      <c r="G393" s="1" t="s">
        <v>23</v>
      </c>
      <c r="H393" s="1" t="s">
        <v>28</v>
      </c>
      <c r="I393" s="1" t="s">
        <v>28</v>
      </c>
      <c r="J393" s="1" t="s">
        <v>28</v>
      </c>
      <c r="K393" s="1" t="s">
        <v>54</v>
      </c>
      <c r="L393" s="1">
        <v>0.4</v>
      </c>
      <c r="M393" s="1">
        <v>309.5</v>
      </c>
      <c r="N393" s="1">
        <v>3.03</v>
      </c>
      <c r="O393" s="1">
        <v>73</v>
      </c>
      <c r="P393" s="1">
        <v>1259</v>
      </c>
      <c r="Q393" s="1">
        <v>114.7</v>
      </c>
      <c r="R393" s="1">
        <v>108</v>
      </c>
      <c r="S393" s="1">
        <v>173</v>
      </c>
      <c r="T393" s="1">
        <v>10.9</v>
      </c>
      <c r="U393" s="1">
        <v>3</v>
      </c>
    </row>
    <row r="394" spans="1:21" x14ac:dyDescent="0.35">
      <c r="A394" s="1">
        <v>393</v>
      </c>
      <c r="B394" s="1">
        <v>193</v>
      </c>
      <c r="C394" s="1" t="s">
        <v>49</v>
      </c>
      <c r="D394" s="1" t="s">
        <v>28</v>
      </c>
      <c r="E394" s="2">
        <v>52</v>
      </c>
      <c r="F394" s="2" t="str" cm="1">
        <f t="array" ref="F394">_xlfn.IFS(E394&lt;25,"Under 25",E394&lt;40,"Young Adulthood",E394&lt;60,"Middle Adulthood",E394&gt;=60,"Older Adulthood")</f>
        <v>Middle Adulthood</v>
      </c>
      <c r="G394" s="1" t="s">
        <v>23</v>
      </c>
      <c r="H394" s="1" t="s">
        <v>28</v>
      </c>
      <c r="I394" s="1" t="s">
        <v>28</v>
      </c>
      <c r="J394" s="1" t="s">
        <v>28</v>
      </c>
      <c r="K394" s="1" t="s">
        <v>55</v>
      </c>
      <c r="L394" s="1">
        <v>0.7</v>
      </c>
      <c r="M394" s="1">
        <v>309.5</v>
      </c>
      <c r="N394" s="1">
        <v>2.96</v>
      </c>
      <c r="O394" s="1">
        <v>73</v>
      </c>
      <c r="P394" s="1">
        <v>1259</v>
      </c>
      <c r="Q394" s="1">
        <v>114.7</v>
      </c>
      <c r="R394" s="1">
        <v>108</v>
      </c>
      <c r="S394" s="1">
        <v>319</v>
      </c>
      <c r="T394" s="1">
        <v>9.9</v>
      </c>
      <c r="U394" s="1">
        <v>4</v>
      </c>
    </row>
    <row r="395" spans="1:21" x14ac:dyDescent="0.35">
      <c r="A395" s="1">
        <v>394</v>
      </c>
      <c r="B395" s="1">
        <v>1367</v>
      </c>
      <c r="C395" s="1" t="s">
        <v>52</v>
      </c>
      <c r="D395" s="1" t="s">
        <v>28</v>
      </c>
      <c r="E395" s="2">
        <v>56.999315537303218</v>
      </c>
      <c r="F395" s="2" t="str" cm="1">
        <f t="array" ref="F395">_xlfn.IFS(E395&lt;25,"Under 25",E395&lt;40,"Young Adulthood",E395&lt;60,"Middle Adulthood",E395&gt;=60,"Older Adulthood")</f>
        <v>Middle Adulthood</v>
      </c>
      <c r="G395" s="1" t="s">
        <v>23</v>
      </c>
      <c r="H395" s="1" t="s">
        <v>28</v>
      </c>
      <c r="I395" s="1" t="s">
        <v>28</v>
      </c>
      <c r="J395" s="1" t="s">
        <v>28</v>
      </c>
      <c r="K395" s="1" t="s">
        <v>55</v>
      </c>
      <c r="L395" s="1">
        <v>2</v>
      </c>
      <c r="M395" s="1">
        <v>309.5</v>
      </c>
      <c r="N395" s="1">
        <v>3.07</v>
      </c>
      <c r="O395" s="1">
        <v>73</v>
      </c>
      <c r="P395" s="1">
        <v>1259</v>
      </c>
      <c r="Q395" s="1">
        <v>114.7</v>
      </c>
      <c r="R395" s="1">
        <v>108</v>
      </c>
      <c r="S395" s="1">
        <v>80</v>
      </c>
      <c r="T395" s="1">
        <v>12.1</v>
      </c>
      <c r="U395" s="1">
        <v>4</v>
      </c>
    </row>
    <row r="396" spans="1:21" x14ac:dyDescent="0.35">
      <c r="A396" s="1">
        <v>395</v>
      </c>
      <c r="B396" s="1">
        <v>1329</v>
      </c>
      <c r="C396" s="1" t="s">
        <v>52</v>
      </c>
      <c r="D396" s="1" t="s">
        <v>28</v>
      </c>
      <c r="E396" s="2">
        <v>36</v>
      </c>
      <c r="F396" s="2" t="str" cm="1">
        <f t="array" ref="F396">_xlfn.IFS(E396&lt;25,"Under 25",E396&lt;40,"Young Adulthood",E396&lt;60,"Middle Adulthood",E396&gt;=60,"Older Adulthood")</f>
        <v>Young Adulthood</v>
      </c>
      <c r="G396" s="1" t="s">
        <v>23</v>
      </c>
      <c r="H396" s="1" t="s">
        <v>28</v>
      </c>
      <c r="I396" s="1" t="s">
        <v>28</v>
      </c>
      <c r="J396" s="1" t="s">
        <v>28</v>
      </c>
      <c r="K396" s="1" t="s">
        <v>54</v>
      </c>
      <c r="L396" s="1">
        <v>1.4</v>
      </c>
      <c r="M396" s="1">
        <v>309.5</v>
      </c>
      <c r="N396" s="1">
        <v>3.98</v>
      </c>
      <c r="O396" s="1">
        <v>73</v>
      </c>
      <c r="P396" s="1">
        <v>1259</v>
      </c>
      <c r="Q396" s="1">
        <v>114.7</v>
      </c>
      <c r="R396" s="1">
        <v>108</v>
      </c>
      <c r="S396" s="1">
        <v>402</v>
      </c>
      <c r="T396" s="1">
        <v>11</v>
      </c>
      <c r="U396" s="1">
        <v>1</v>
      </c>
    </row>
    <row r="397" spans="1:21" x14ac:dyDescent="0.35">
      <c r="A397" s="1">
        <v>396</v>
      </c>
      <c r="B397" s="1">
        <v>1343</v>
      </c>
      <c r="C397" s="1" t="s">
        <v>52</v>
      </c>
      <c r="D397" s="1" t="s">
        <v>28</v>
      </c>
      <c r="E397" s="2">
        <v>50.001368925393564</v>
      </c>
      <c r="F397" s="2" t="str" cm="1">
        <f t="array" ref="F397">_xlfn.IFS(E397&lt;25,"Under 25",E397&lt;40,"Young Adulthood",E397&lt;60,"Middle Adulthood",E397&gt;=60,"Older Adulthood")</f>
        <v>Middle Adulthood</v>
      </c>
      <c r="G397" s="1" t="s">
        <v>23</v>
      </c>
      <c r="H397" s="1" t="s">
        <v>28</v>
      </c>
      <c r="I397" s="1" t="s">
        <v>28</v>
      </c>
      <c r="J397" s="1" t="s">
        <v>28</v>
      </c>
      <c r="K397" s="1" t="s">
        <v>54</v>
      </c>
      <c r="L397" s="1">
        <v>1.6</v>
      </c>
      <c r="M397" s="1">
        <v>309.5</v>
      </c>
      <c r="N397" s="1">
        <v>3.48</v>
      </c>
      <c r="O397" s="1">
        <v>73</v>
      </c>
      <c r="P397" s="1">
        <v>1259</v>
      </c>
      <c r="Q397" s="1">
        <v>114.7</v>
      </c>
      <c r="R397" s="1">
        <v>108</v>
      </c>
      <c r="S397" s="1">
        <v>277</v>
      </c>
      <c r="T397" s="1">
        <v>10.199999999999999</v>
      </c>
      <c r="U397" s="1">
        <v>2</v>
      </c>
    </row>
    <row r="398" spans="1:21" x14ac:dyDescent="0.35">
      <c r="A398" s="1">
        <v>397</v>
      </c>
      <c r="B398" s="1">
        <v>1328</v>
      </c>
      <c r="C398" s="1" t="s">
        <v>52</v>
      </c>
      <c r="D398" s="1" t="s">
        <v>28</v>
      </c>
      <c r="E398" s="2">
        <v>64</v>
      </c>
      <c r="F398" s="2" t="str" cm="1">
        <f t="array" ref="F398">_xlfn.IFS(E398&lt;25,"Under 25",E398&lt;40,"Young Adulthood",E398&lt;60,"Middle Adulthood",E398&gt;=60,"Older Adulthood")</f>
        <v>Older Adulthood</v>
      </c>
      <c r="G398" s="1" t="s">
        <v>23</v>
      </c>
      <c r="H398" s="1" t="s">
        <v>28</v>
      </c>
      <c r="I398" s="1" t="s">
        <v>28</v>
      </c>
      <c r="J398" s="1" t="s">
        <v>28</v>
      </c>
      <c r="K398" s="1" t="s">
        <v>54</v>
      </c>
      <c r="L398" s="1">
        <v>0.5</v>
      </c>
      <c r="M398" s="1">
        <v>309.5</v>
      </c>
      <c r="N398" s="1">
        <v>3.65</v>
      </c>
      <c r="O398" s="1">
        <v>73</v>
      </c>
      <c r="P398" s="1">
        <v>1259</v>
      </c>
      <c r="Q398" s="1">
        <v>114.7</v>
      </c>
      <c r="R398" s="1">
        <v>108</v>
      </c>
      <c r="S398" s="1">
        <v>425</v>
      </c>
      <c r="T398" s="1">
        <v>10.199999999999999</v>
      </c>
      <c r="U398" s="1">
        <v>4</v>
      </c>
    </row>
    <row r="399" spans="1:21" x14ac:dyDescent="0.35">
      <c r="A399" s="1">
        <v>398</v>
      </c>
      <c r="B399" s="1">
        <v>1375</v>
      </c>
      <c r="C399" s="1" t="s">
        <v>52</v>
      </c>
      <c r="D399" s="1" t="s">
        <v>28</v>
      </c>
      <c r="E399" s="2">
        <v>62.001368925393564</v>
      </c>
      <c r="F399" s="2" t="str" cm="1">
        <f t="array" ref="F399">_xlfn.IFS(E399&lt;25,"Under 25",E399&lt;40,"Young Adulthood",E399&lt;60,"Middle Adulthood",E399&gt;=60,"Older Adulthood")</f>
        <v>Older Adulthood</v>
      </c>
      <c r="G399" s="1" t="s">
        <v>23</v>
      </c>
      <c r="H399" s="1" t="s">
        <v>28</v>
      </c>
      <c r="I399" s="1" t="s">
        <v>28</v>
      </c>
      <c r="J399" s="1" t="s">
        <v>28</v>
      </c>
      <c r="K399" s="1" t="s">
        <v>54</v>
      </c>
      <c r="L399" s="1">
        <v>7.3</v>
      </c>
      <c r="M399" s="1">
        <v>309.5</v>
      </c>
      <c r="N399" s="1">
        <v>3.49</v>
      </c>
      <c r="O399" s="1">
        <v>73</v>
      </c>
      <c r="P399" s="1">
        <v>1259</v>
      </c>
      <c r="Q399" s="1">
        <v>114.7</v>
      </c>
      <c r="R399" s="1">
        <v>108</v>
      </c>
      <c r="S399" s="1">
        <v>189</v>
      </c>
      <c r="T399" s="1">
        <v>10.9</v>
      </c>
      <c r="U399" s="1">
        <v>4</v>
      </c>
    </row>
    <row r="400" spans="1:21" x14ac:dyDescent="0.35">
      <c r="A400" s="1">
        <v>399</v>
      </c>
      <c r="B400" s="1">
        <v>1260</v>
      </c>
      <c r="C400" s="1" t="s">
        <v>52</v>
      </c>
      <c r="D400" s="1" t="s">
        <v>28</v>
      </c>
      <c r="E400" s="2">
        <v>42.001368925393564</v>
      </c>
      <c r="F400" s="2" t="str" cm="1">
        <f t="array" ref="F400">_xlfn.IFS(E400&lt;25,"Under 25",E400&lt;40,"Young Adulthood",E400&lt;60,"Middle Adulthood",E400&gt;=60,"Older Adulthood")</f>
        <v>Middle Adulthood</v>
      </c>
      <c r="G400" s="1" t="s">
        <v>23</v>
      </c>
      <c r="H400" s="1" t="s">
        <v>28</v>
      </c>
      <c r="I400" s="1" t="s">
        <v>28</v>
      </c>
      <c r="J400" s="1" t="s">
        <v>28</v>
      </c>
      <c r="K400" s="1" t="s">
        <v>54</v>
      </c>
      <c r="L400" s="1">
        <v>8.1</v>
      </c>
      <c r="M400" s="1">
        <v>309.5</v>
      </c>
      <c r="N400" s="1">
        <v>2.82</v>
      </c>
      <c r="O400" s="1">
        <v>73</v>
      </c>
      <c r="P400" s="1">
        <v>1259</v>
      </c>
      <c r="Q400" s="1">
        <v>114.7</v>
      </c>
      <c r="R400" s="1">
        <v>108</v>
      </c>
      <c r="S400" s="1">
        <v>193</v>
      </c>
      <c r="T400" s="1">
        <v>10.4</v>
      </c>
      <c r="U400" s="1">
        <v>2</v>
      </c>
    </row>
    <row r="401" spans="1:21" x14ac:dyDescent="0.35">
      <c r="A401" s="1">
        <v>400</v>
      </c>
      <c r="B401" s="1">
        <v>1223</v>
      </c>
      <c r="C401" s="1" t="s">
        <v>52</v>
      </c>
      <c r="D401" s="1" t="s">
        <v>28</v>
      </c>
      <c r="E401" s="2">
        <v>44</v>
      </c>
      <c r="F401" s="2" t="str" cm="1">
        <f t="array" ref="F401">_xlfn.IFS(E401&lt;25,"Under 25",E401&lt;40,"Young Adulthood",E401&lt;60,"Middle Adulthood",E401&gt;=60,"Older Adulthood")</f>
        <v>Middle Adulthood</v>
      </c>
      <c r="G401" s="1" t="s">
        <v>23</v>
      </c>
      <c r="H401" s="1" t="s">
        <v>28</v>
      </c>
      <c r="I401" s="1" t="s">
        <v>28</v>
      </c>
      <c r="J401" s="1" t="s">
        <v>28</v>
      </c>
      <c r="K401" s="1" t="s">
        <v>54</v>
      </c>
      <c r="L401" s="1">
        <v>0.5</v>
      </c>
      <c r="M401" s="1">
        <v>309.5</v>
      </c>
      <c r="N401" s="1">
        <v>3.34</v>
      </c>
      <c r="O401" s="1">
        <v>73</v>
      </c>
      <c r="P401" s="1">
        <v>1259</v>
      </c>
      <c r="Q401" s="1">
        <v>114.7</v>
      </c>
      <c r="R401" s="1">
        <v>108</v>
      </c>
      <c r="S401" s="1">
        <v>258</v>
      </c>
      <c r="T401" s="1">
        <v>10.6</v>
      </c>
      <c r="U401" s="1">
        <v>2</v>
      </c>
    </row>
    <row r="402" spans="1:21" x14ac:dyDescent="0.35">
      <c r="A402" s="1">
        <v>401</v>
      </c>
      <c r="B402" s="1">
        <v>935</v>
      </c>
      <c r="C402" s="1" t="s">
        <v>49</v>
      </c>
      <c r="D402" s="1" t="s">
        <v>28</v>
      </c>
      <c r="E402" s="2">
        <v>68.999315537303218</v>
      </c>
      <c r="F402" s="2" t="str" cm="1">
        <f t="array" ref="F402">_xlfn.IFS(E402&lt;25,"Under 25",E402&lt;40,"Young Adulthood",E402&lt;60,"Middle Adulthood",E402&gt;=60,"Older Adulthood")</f>
        <v>Older Adulthood</v>
      </c>
      <c r="G402" s="1" t="s">
        <v>23</v>
      </c>
      <c r="H402" s="1" t="s">
        <v>28</v>
      </c>
      <c r="I402" s="1" t="s">
        <v>28</v>
      </c>
      <c r="J402" s="1" t="s">
        <v>28</v>
      </c>
      <c r="K402" s="1" t="s">
        <v>54</v>
      </c>
      <c r="L402" s="1">
        <v>4.2</v>
      </c>
      <c r="M402" s="1">
        <v>309.5</v>
      </c>
      <c r="N402" s="1">
        <v>3.19</v>
      </c>
      <c r="O402" s="1">
        <v>73</v>
      </c>
      <c r="P402" s="1">
        <v>1259</v>
      </c>
      <c r="Q402" s="1">
        <v>114.7</v>
      </c>
      <c r="R402" s="1">
        <v>108</v>
      </c>
      <c r="S402" s="1">
        <v>120</v>
      </c>
      <c r="T402" s="1">
        <v>11.1</v>
      </c>
      <c r="U402" s="1">
        <v>4</v>
      </c>
    </row>
    <row r="403" spans="1:21" x14ac:dyDescent="0.35">
      <c r="A403" s="1">
        <v>402</v>
      </c>
      <c r="B403" s="1">
        <v>943</v>
      </c>
      <c r="C403" s="1" t="s">
        <v>52</v>
      </c>
      <c r="D403" s="1" t="s">
        <v>28</v>
      </c>
      <c r="E403" s="2">
        <v>52</v>
      </c>
      <c r="F403" s="2" t="str" cm="1">
        <f t="array" ref="F403">_xlfn.IFS(E403&lt;25,"Under 25",E403&lt;40,"Young Adulthood",E403&lt;60,"Middle Adulthood",E403&gt;=60,"Older Adulthood")</f>
        <v>Middle Adulthood</v>
      </c>
      <c r="G403" s="1" t="s">
        <v>23</v>
      </c>
      <c r="H403" s="1" t="s">
        <v>28</v>
      </c>
      <c r="I403" s="1" t="s">
        <v>28</v>
      </c>
      <c r="J403" s="1" t="s">
        <v>28</v>
      </c>
      <c r="K403" s="1" t="s">
        <v>54</v>
      </c>
      <c r="L403" s="1">
        <v>0.8</v>
      </c>
      <c r="M403" s="1">
        <v>309.5</v>
      </c>
      <c r="N403" s="1">
        <v>3.01</v>
      </c>
      <c r="O403" s="1">
        <v>73</v>
      </c>
      <c r="P403" s="1">
        <v>1259</v>
      </c>
      <c r="Q403" s="1">
        <v>114.7</v>
      </c>
      <c r="R403" s="1">
        <v>108</v>
      </c>
      <c r="S403" s="1">
        <v>256</v>
      </c>
      <c r="T403" s="1">
        <v>10.6</v>
      </c>
      <c r="U403" s="1">
        <v>3</v>
      </c>
    </row>
    <row r="404" spans="1:21" x14ac:dyDescent="0.35">
      <c r="A404" s="1">
        <v>403</v>
      </c>
      <c r="B404" s="1">
        <v>1141</v>
      </c>
      <c r="C404" s="1" t="s">
        <v>52</v>
      </c>
      <c r="D404" s="1" t="s">
        <v>28</v>
      </c>
      <c r="E404" s="2">
        <v>66.001368925393564</v>
      </c>
      <c r="F404" s="2" t="str" cm="1">
        <f t="array" ref="F404">_xlfn.IFS(E404&lt;25,"Under 25",E404&lt;40,"Young Adulthood",E404&lt;60,"Middle Adulthood",E404&gt;=60,"Older Adulthood")</f>
        <v>Older Adulthood</v>
      </c>
      <c r="G404" s="1" t="s">
        <v>23</v>
      </c>
      <c r="H404" s="1" t="s">
        <v>28</v>
      </c>
      <c r="I404" s="1" t="s">
        <v>28</v>
      </c>
      <c r="J404" s="1" t="s">
        <v>28</v>
      </c>
      <c r="K404" s="1" t="s">
        <v>54</v>
      </c>
      <c r="L404" s="1">
        <v>2.5</v>
      </c>
      <c r="M404" s="1">
        <v>309.5</v>
      </c>
      <c r="N404" s="1">
        <v>3.33</v>
      </c>
      <c r="O404" s="1">
        <v>73</v>
      </c>
      <c r="P404" s="1">
        <v>1259</v>
      </c>
      <c r="Q404" s="1">
        <v>114.7</v>
      </c>
      <c r="R404" s="1">
        <v>108</v>
      </c>
      <c r="S404" s="1">
        <v>256</v>
      </c>
      <c r="T404" s="1">
        <v>10.8</v>
      </c>
      <c r="U404" s="1">
        <v>4</v>
      </c>
    </row>
    <row r="405" spans="1:21" x14ac:dyDescent="0.35">
      <c r="A405" s="1">
        <v>404</v>
      </c>
      <c r="B405" s="1">
        <v>1092</v>
      </c>
      <c r="C405" s="1" t="s">
        <v>52</v>
      </c>
      <c r="D405" s="1" t="s">
        <v>28</v>
      </c>
      <c r="E405" s="2">
        <v>40</v>
      </c>
      <c r="F405" s="2" t="str" cm="1">
        <f t="array" ref="F405">_xlfn.IFS(E405&lt;25,"Under 25",E405&lt;40,"Young Adulthood",E405&lt;60,"Middle Adulthood",E405&gt;=60,"Older Adulthood")</f>
        <v>Middle Adulthood</v>
      </c>
      <c r="G405" s="1" t="s">
        <v>23</v>
      </c>
      <c r="H405" s="1" t="s">
        <v>28</v>
      </c>
      <c r="I405" s="1" t="s">
        <v>28</v>
      </c>
      <c r="J405" s="1" t="s">
        <v>28</v>
      </c>
      <c r="K405" s="1" t="s">
        <v>54</v>
      </c>
      <c r="L405" s="1">
        <v>4.5999999999999996</v>
      </c>
      <c r="M405" s="1">
        <v>309.5</v>
      </c>
      <c r="N405" s="1">
        <v>3.6</v>
      </c>
      <c r="O405" s="1">
        <v>73</v>
      </c>
      <c r="P405" s="1">
        <v>1259</v>
      </c>
      <c r="Q405" s="1">
        <v>114.7</v>
      </c>
      <c r="R405" s="1">
        <v>108</v>
      </c>
      <c r="S405" s="1">
        <v>337</v>
      </c>
      <c r="T405" s="1">
        <v>10.4</v>
      </c>
      <c r="U405" s="1">
        <v>3</v>
      </c>
    </row>
    <row r="406" spans="1:21" x14ac:dyDescent="0.35">
      <c r="A406" s="1">
        <v>405</v>
      </c>
      <c r="B406" s="1">
        <v>1150</v>
      </c>
      <c r="C406" s="1" t="s">
        <v>52</v>
      </c>
      <c r="D406" s="1" t="s">
        <v>28</v>
      </c>
      <c r="E406" s="2">
        <v>52</v>
      </c>
      <c r="F406" s="2" t="str" cm="1">
        <f t="array" ref="F406">_xlfn.IFS(E406&lt;25,"Under 25",E406&lt;40,"Young Adulthood",E406&lt;60,"Middle Adulthood",E406&gt;=60,"Older Adulthood")</f>
        <v>Middle Adulthood</v>
      </c>
      <c r="G406" s="1" t="s">
        <v>23</v>
      </c>
      <c r="H406" s="1" t="s">
        <v>28</v>
      </c>
      <c r="I406" s="1" t="s">
        <v>28</v>
      </c>
      <c r="J406" s="1" t="s">
        <v>28</v>
      </c>
      <c r="K406" s="1" t="s">
        <v>54</v>
      </c>
      <c r="L406" s="1">
        <v>1</v>
      </c>
      <c r="M406" s="1">
        <v>309.5</v>
      </c>
      <c r="N406" s="1">
        <v>3.64</v>
      </c>
      <c r="O406" s="1">
        <v>73</v>
      </c>
      <c r="P406" s="1">
        <v>1259</v>
      </c>
      <c r="Q406" s="1">
        <v>114.7</v>
      </c>
      <c r="R406" s="1">
        <v>108</v>
      </c>
      <c r="S406" s="1">
        <v>340</v>
      </c>
      <c r="T406" s="1">
        <v>10.6</v>
      </c>
      <c r="U406" s="1">
        <v>3</v>
      </c>
    </row>
    <row r="407" spans="1:21" x14ac:dyDescent="0.35">
      <c r="A407" s="1">
        <v>406</v>
      </c>
      <c r="B407" s="1">
        <v>703</v>
      </c>
      <c r="C407" s="1" t="s">
        <v>49</v>
      </c>
      <c r="D407" s="1" t="s">
        <v>28</v>
      </c>
      <c r="E407" s="2">
        <v>46.001368925393564</v>
      </c>
      <c r="F407" s="2" t="str" cm="1">
        <f t="array" ref="F407">_xlfn.IFS(E407&lt;25,"Under 25",E407&lt;40,"Young Adulthood",E407&lt;60,"Middle Adulthood",E407&gt;=60,"Older Adulthood")</f>
        <v>Middle Adulthood</v>
      </c>
      <c r="G407" s="1" t="s">
        <v>23</v>
      </c>
      <c r="H407" s="1" t="s">
        <v>28</v>
      </c>
      <c r="I407" s="1" t="s">
        <v>28</v>
      </c>
      <c r="J407" s="1" t="s">
        <v>28</v>
      </c>
      <c r="K407" s="1" t="s">
        <v>54</v>
      </c>
      <c r="L407" s="1">
        <v>4.5</v>
      </c>
      <c r="M407" s="1">
        <v>309.5</v>
      </c>
      <c r="N407" s="1">
        <v>2.68</v>
      </c>
      <c r="O407" s="1">
        <v>73</v>
      </c>
      <c r="P407" s="1">
        <v>1259</v>
      </c>
      <c r="Q407" s="1">
        <v>114.7</v>
      </c>
      <c r="R407" s="1">
        <v>108</v>
      </c>
      <c r="S407" s="1">
        <v>219</v>
      </c>
      <c r="T407" s="1">
        <v>11.5</v>
      </c>
      <c r="U407" s="1">
        <v>4</v>
      </c>
    </row>
    <row r="408" spans="1:21" x14ac:dyDescent="0.35">
      <c r="A408" s="1">
        <v>407</v>
      </c>
      <c r="B408" s="1">
        <v>1129</v>
      </c>
      <c r="C408" s="1" t="s">
        <v>52</v>
      </c>
      <c r="D408" s="1" t="s">
        <v>28</v>
      </c>
      <c r="E408" s="2">
        <v>54.001368925393564</v>
      </c>
      <c r="F408" s="2" t="str" cm="1">
        <f t="array" ref="F408">_xlfn.IFS(E408&lt;25,"Under 25",E408&lt;40,"Young Adulthood",E408&lt;60,"Middle Adulthood",E408&gt;=60,"Older Adulthood")</f>
        <v>Middle Adulthood</v>
      </c>
      <c r="G408" s="1" t="s">
        <v>25</v>
      </c>
      <c r="H408" s="1" t="s">
        <v>28</v>
      </c>
      <c r="I408" s="1" t="s">
        <v>28</v>
      </c>
      <c r="J408" s="1" t="s">
        <v>28</v>
      </c>
      <c r="K408" s="1" t="s">
        <v>54</v>
      </c>
      <c r="L408" s="1">
        <v>1.1000000000000001</v>
      </c>
      <c r="M408" s="1">
        <v>309.5</v>
      </c>
      <c r="N408" s="1">
        <v>3.69</v>
      </c>
      <c r="O408" s="1">
        <v>73</v>
      </c>
      <c r="P408" s="1">
        <v>1259</v>
      </c>
      <c r="Q408" s="1">
        <v>114.7</v>
      </c>
      <c r="R408" s="1">
        <v>108</v>
      </c>
      <c r="S408" s="1">
        <v>220</v>
      </c>
      <c r="T408" s="1">
        <v>10.8</v>
      </c>
      <c r="U408" s="1">
        <v>3</v>
      </c>
    </row>
    <row r="409" spans="1:21" x14ac:dyDescent="0.35">
      <c r="A409" s="1">
        <v>408</v>
      </c>
      <c r="B409" s="1">
        <v>1086</v>
      </c>
      <c r="C409" s="1" t="s">
        <v>52</v>
      </c>
      <c r="D409" s="1" t="s">
        <v>28</v>
      </c>
      <c r="E409" s="2">
        <v>51.000684462696782</v>
      </c>
      <c r="F409" s="2" t="str" cm="1">
        <f t="array" ref="F409">_xlfn.IFS(E409&lt;25,"Under 25",E409&lt;40,"Young Adulthood",E409&lt;60,"Middle Adulthood",E409&gt;=60,"Older Adulthood")</f>
        <v>Middle Adulthood</v>
      </c>
      <c r="G409" s="1" t="s">
        <v>23</v>
      </c>
      <c r="H409" s="1" t="s">
        <v>28</v>
      </c>
      <c r="I409" s="1" t="s">
        <v>28</v>
      </c>
      <c r="J409" s="1" t="s">
        <v>28</v>
      </c>
      <c r="K409" s="1" t="s">
        <v>55</v>
      </c>
      <c r="L409" s="1">
        <v>1.9</v>
      </c>
      <c r="M409" s="1">
        <v>309.5</v>
      </c>
      <c r="N409" s="1">
        <v>3.17</v>
      </c>
      <c r="O409" s="1">
        <v>73</v>
      </c>
      <c r="P409" s="1">
        <v>1259</v>
      </c>
      <c r="Q409" s="1">
        <v>114.7</v>
      </c>
      <c r="R409" s="1">
        <v>108</v>
      </c>
      <c r="S409" s="1">
        <v>162</v>
      </c>
      <c r="T409" s="1">
        <v>10.7</v>
      </c>
      <c r="U409" s="1">
        <v>3</v>
      </c>
    </row>
    <row r="410" spans="1:21" x14ac:dyDescent="0.35">
      <c r="A410" s="1">
        <v>409</v>
      </c>
      <c r="B410" s="1">
        <v>1067</v>
      </c>
      <c r="C410" s="1" t="s">
        <v>52</v>
      </c>
      <c r="D410" s="1" t="s">
        <v>28</v>
      </c>
      <c r="E410" s="2">
        <v>43.000684462696782</v>
      </c>
      <c r="F410" s="2" t="str" cm="1">
        <f t="array" ref="F410">_xlfn.IFS(E410&lt;25,"Under 25",E410&lt;40,"Young Adulthood",E410&lt;60,"Middle Adulthood",E410&gt;=60,"Older Adulthood")</f>
        <v>Middle Adulthood</v>
      </c>
      <c r="G410" s="1" t="s">
        <v>23</v>
      </c>
      <c r="H410" s="1" t="s">
        <v>28</v>
      </c>
      <c r="I410" s="1" t="s">
        <v>28</v>
      </c>
      <c r="J410" s="1" t="s">
        <v>28</v>
      </c>
      <c r="K410" s="1" t="s">
        <v>54</v>
      </c>
      <c r="L410" s="1">
        <v>0.7</v>
      </c>
      <c r="M410" s="1">
        <v>309.5</v>
      </c>
      <c r="N410" s="1">
        <v>3.73</v>
      </c>
      <c r="O410" s="1">
        <v>73</v>
      </c>
      <c r="P410" s="1">
        <v>1259</v>
      </c>
      <c r="Q410" s="1">
        <v>114.7</v>
      </c>
      <c r="R410" s="1">
        <v>108</v>
      </c>
      <c r="S410" s="1">
        <v>214</v>
      </c>
      <c r="T410" s="1">
        <v>10.8</v>
      </c>
      <c r="U410" s="1">
        <v>3</v>
      </c>
    </row>
    <row r="411" spans="1:21" x14ac:dyDescent="0.35">
      <c r="A411" s="1">
        <v>410</v>
      </c>
      <c r="B411" s="1">
        <v>1072</v>
      </c>
      <c r="C411" s="1" t="s">
        <v>52</v>
      </c>
      <c r="D411" s="1" t="s">
        <v>28</v>
      </c>
      <c r="E411" s="2">
        <v>39.000684462696782</v>
      </c>
      <c r="F411" s="2" t="str" cm="1">
        <f t="array" ref="F411">_xlfn.IFS(E411&lt;25,"Under 25",E411&lt;40,"Young Adulthood",E411&lt;60,"Middle Adulthood",E411&gt;=60,"Older Adulthood")</f>
        <v>Young Adulthood</v>
      </c>
      <c r="G411" s="1" t="s">
        <v>23</v>
      </c>
      <c r="H411" s="1" t="s">
        <v>28</v>
      </c>
      <c r="I411" s="1" t="s">
        <v>28</v>
      </c>
      <c r="J411" s="1" t="s">
        <v>28</v>
      </c>
      <c r="K411" s="1" t="s">
        <v>54</v>
      </c>
      <c r="L411" s="1">
        <v>1.5</v>
      </c>
      <c r="M411" s="1">
        <v>309.5</v>
      </c>
      <c r="N411" s="1">
        <v>3.81</v>
      </c>
      <c r="O411" s="1">
        <v>73</v>
      </c>
      <c r="P411" s="1">
        <v>1259</v>
      </c>
      <c r="Q411" s="1">
        <v>114.7</v>
      </c>
      <c r="R411" s="1">
        <v>108</v>
      </c>
      <c r="S411" s="1">
        <v>255</v>
      </c>
      <c r="T411" s="1">
        <v>10.8</v>
      </c>
      <c r="U411" s="1">
        <v>3</v>
      </c>
    </row>
    <row r="412" spans="1:21" x14ac:dyDescent="0.35">
      <c r="A412" s="1">
        <v>411</v>
      </c>
      <c r="B412" s="1">
        <v>1119</v>
      </c>
      <c r="C412" s="1" t="s">
        <v>52</v>
      </c>
      <c r="D412" s="1" t="s">
        <v>28</v>
      </c>
      <c r="E412" s="2">
        <v>51.000684462696782</v>
      </c>
      <c r="F412" s="2" t="str" cm="1">
        <f t="array" ref="F412">_xlfn.IFS(E412&lt;25,"Under 25",E412&lt;40,"Young Adulthood",E412&lt;60,"Middle Adulthood",E412&gt;=60,"Older Adulthood")</f>
        <v>Middle Adulthood</v>
      </c>
      <c r="G412" s="1" t="s">
        <v>23</v>
      </c>
      <c r="H412" s="1" t="s">
        <v>28</v>
      </c>
      <c r="I412" s="1" t="s">
        <v>28</v>
      </c>
      <c r="J412" s="1" t="s">
        <v>28</v>
      </c>
      <c r="K412" s="1" t="s">
        <v>54</v>
      </c>
      <c r="L412" s="1">
        <v>0.6</v>
      </c>
      <c r="M412" s="1">
        <v>309.5</v>
      </c>
      <c r="N412" s="1">
        <v>3.57</v>
      </c>
      <c r="O412" s="1">
        <v>73</v>
      </c>
      <c r="P412" s="1">
        <v>1259</v>
      </c>
      <c r="Q412" s="1">
        <v>114.7</v>
      </c>
      <c r="R412" s="1">
        <v>108</v>
      </c>
      <c r="S412" s="1">
        <v>286</v>
      </c>
      <c r="T412" s="1">
        <v>10.6</v>
      </c>
      <c r="U412" s="1">
        <v>3</v>
      </c>
    </row>
    <row r="413" spans="1:21" x14ac:dyDescent="0.35">
      <c r="A413" s="1">
        <v>412</v>
      </c>
      <c r="B413" s="1">
        <v>1097</v>
      </c>
      <c r="C413" s="1" t="s">
        <v>52</v>
      </c>
      <c r="D413" s="1" t="s">
        <v>28</v>
      </c>
      <c r="E413" s="2">
        <v>67.000684462696782</v>
      </c>
      <c r="F413" s="2" t="str" cm="1">
        <f t="array" ref="F413">_xlfn.IFS(E413&lt;25,"Under 25",E413&lt;40,"Young Adulthood",E413&lt;60,"Middle Adulthood",E413&gt;=60,"Older Adulthood")</f>
        <v>Older Adulthood</v>
      </c>
      <c r="G413" s="1" t="s">
        <v>23</v>
      </c>
      <c r="H413" s="1" t="s">
        <v>28</v>
      </c>
      <c r="I413" s="1" t="s">
        <v>28</v>
      </c>
      <c r="J413" s="1" t="s">
        <v>28</v>
      </c>
      <c r="K413" s="1" t="s">
        <v>54</v>
      </c>
      <c r="L413" s="1">
        <v>1</v>
      </c>
      <c r="M413" s="1">
        <v>309.5</v>
      </c>
      <c r="N413" s="1">
        <v>3.58</v>
      </c>
      <c r="O413" s="1">
        <v>73</v>
      </c>
      <c r="P413" s="1">
        <v>1259</v>
      </c>
      <c r="Q413" s="1">
        <v>114.7</v>
      </c>
      <c r="R413" s="1">
        <v>108</v>
      </c>
      <c r="S413" s="1">
        <v>244</v>
      </c>
      <c r="T413" s="1">
        <v>10.8</v>
      </c>
      <c r="U413" s="1">
        <v>3</v>
      </c>
    </row>
    <row r="414" spans="1:21" x14ac:dyDescent="0.35">
      <c r="A414" s="1">
        <v>413</v>
      </c>
      <c r="B414" s="1">
        <v>989</v>
      </c>
      <c r="C414" s="1" t="s">
        <v>52</v>
      </c>
      <c r="D414" s="1" t="s">
        <v>28</v>
      </c>
      <c r="E414" s="2">
        <v>35.000684462696782</v>
      </c>
      <c r="F414" s="2" t="str" cm="1">
        <f t="array" ref="F414">_xlfn.IFS(E414&lt;25,"Under 25",E414&lt;40,"Young Adulthood",E414&lt;60,"Middle Adulthood",E414&gt;=60,"Older Adulthood")</f>
        <v>Young Adulthood</v>
      </c>
      <c r="G414" s="1" t="s">
        <v>23</v>
      </c>
      <c r="H414" s="1" t="s">
        <v>28</v>
      </c>
      <c r="I414" s="1" t="s">
        <v>28</v>
      </c>
      <c r="J414" s="1" t="s">
        <v>28</v>
      </c>
      <c r="K414" s="1" t="s">
        <v>54</v>
      </c>
      <c r="L414" s="1">
        <v>0.7</v>
      </c>
      <c r="M414" s="1">
        <v>309.5</v>
      </c>
      <c r="N414" s="1">
        <v>3.23</v>
      </c>
      <c r="O414" s="1">
        <v>73</v>
      </c>
      <c r="P414" s="1">
        <v>1259</v>
      </c>
      <c r="Q414" s="1">
        <v>114.7</v>
      </c>
      <c r="R414" s="1">
        <v>108</v>
      </c>
      <c r="S414" s="1">
        <v>312</v>
      </c>
      <c r="T414" s="1">
        <v>10.8</v>
      </c>
      <c r="U414" s="1">
        <v>3</v>
      </c>
    </row>
    <row r="415" spans="1:21" x14ac:dyDescent="0.35">
      <c r="A415" s="1">
        <v>414</v>
      </c>
      <c r="B415" s="1">
        <v>681</v>
      </c>
      <c r="C415" s="1" t="s">
        <v>49</v>
      </c>
      <c r="D415" s="1" t="s">
        <v>28</v>
      </c>
      <c r="E415" s="2">
        <v>67.000684462696782</v>
      </c>
      <c r="F415" s="2" t="str" cm="1">
        <f t="array" ref="F415">_xlfn.IFS(E415&lt;25,"Under 25",E415&lt;40,"Young Adulthood",E415&lt;60,"Middle Adulthood",E415&gt;=60,"Older Adulthood")</f>
        <v>Older Adulthood</v>
      </c>
      <c r="G415" s="1" t="s">
        <v>23</v>
      </c>
      <c r="H415" s="1" t="s">
        <v>28</v>
      </c>
      <c r="I415" s="1" t="s">
        <v>28</v>
      </c>
      <c r="J415" s="1" t="s">
        <v>28</v>
      </c>
      <c r="K415" s="1" t="s">
        <v>54</v>
      </c>
      <c r="L415" s="1">
        <v>1.2</v>
      </c>
      <c r="M415" s="1">
        <v>309.5</v>
      </c>
      <c r="N415" s="1">
        <v>2.96</v>
      </c>
      <c r="O415" s="1">
        <v>73</v>
      </c>
      <c r="P415" s="1">
        <v>1259</v>
      </c>
      <c r="Q415" s="1">
        <v>114.7</v>
      </c>
      <c r="R415" s="1">
        <v>108</v>
      </c>
      <c r="S415" s="1">
        <v>174</v>
      </c>
      <c r="T415" s="1">
        <v>10.9</v>
      </c>
      <c r="U415" s="1">
        <v>3</v>
      </c>
    </row>
    <row r="416" spans="1:21" x14ac:dyDescent="0.35">
      <c r="A416" s="1">
        <v>415</v>
      </c>
      <c r="B416" s="1">
        <v>1103</v>
      </c>
      <c r="C416" s="1" t="s">
        <v>52</v>
      </c>
      <c r="D416" s="1" t="s">
        <v>28</v>
      </c>
      <c r="E416" s="2">
        <v>39.000684462696782</v>
      </c>
      <c r="F416" s="2" t="str" cm="1">
        <f t="array" ref="F416">_xlfn.IFS(E416&lt;25,"Under 25",E416&lt;40,"Young Adulthood",E416&lt;60,"Middle Adulthood",E416&gt;=60,"Older Adulthood")</f>
        <v>Young Adulthood</v>
      </c>
      <c r="G416" s="1" t="s">
        <v>23</v>
      </c>
      <c r="H416" s="1" t="s">
        <v>28</v>
      </c>
      <c r="I416" s="1" t="s">
        <v>28</v>
      </c>
      <c r="J416" s="1" t="s">
        <v>28</v>
      </c>
      <c r="K416" s="1" t="s">
        <v>54</v>
      </c>
      <c r="L416" s="1">
        <v>0.9</v>
      </c>
      <c r="M416" s="1">
        <v>309.5</v>
      </c>
      <c r="N416" s="1">
        <v>3.83</v>
      </c>
      <c r="O416" s="1">
        <v>73</v>
      </c>
      <c r="P416" s="1">
        <v>1259</v>
      </c>
      <c r="Q416" s="1">
        <v>114.7</v>
      </c>
      <c r="R416" s="1">
        <v>108</v>
      </c>
      <c r="S416" s="1">
        <v>180</v>
      </c>
      <c r="T416" s="1">
        <v>11.2</v>
      </c>
      <c r="U416" s="1">
        <v>4</v>
      </c>
    </row>
    <row r="417" spans="1:21" x14ac:dyDescent="0.35">
      <c r="A417" s="1">
        <v>416</v>
      </c>
      <c r="B417" s="1">
        <v>1055</v>
      </c>
      <c r="C417" s="1" t="s">
        <v>52</v>
      </c>
      <c r="D417" s="1" t="s">
        <v>28</v>
      </c>
      <c r="E417" s="2">
        <v>56.999315537303218</v>
      </c>
      <c r="F417" s="2" t="str" cm="1">
        <f t="array" ref="F417">_xlfn.IFS(E417&lt;25,"Under 25",E417&lt;40,"Young Adulthood",E417&lt;60,"Middle Adulthood",E417&gt;=60,"Older Adulthood")</f>
        <v>Middle Adulthood</v>
      </c>
      <c r="G417" s="1" t="s">
        <v>23</v>
      </c>
      <c r="H417" s="1" t="s">
        <v>28</v>
      </c>
      <c r="I417" s="1" t="s">
        <v>28</v>
      </c>
      <c r="J417" s="1" t="s">
        <v>28</v>
      </c>
      <c r="K417" s="1" t="s">
        <v>54</v>
      </c>
      <c r="L417" s="1">
        <v>1.6</v>
      </c>
      <c r="M417" s="1">
        <v>309.5</v>
      </c>
      <c r="N417" s="1">
        <v>3.42</v>
      </c>
      <c r="O417" s="1">
        <v>73</v>
      </c>
      <c r="P417" s="1">
        <v>1259</v>
      </c>
      <c r="Q417" s="1">
        <v>114.7</v>
      </c>
      <c r="R417" s="1">
        <v>108</v>
      </c>
      <c r="S417" s="1">
        <v>143</v>
      </c>
      <c r="T417" s="1">
        <v>9.9</v>
      </c>
      <c r="U417" s="1">
        <v>3</v>
      </c>
    </row>
    <row r="418" spans="1:21" x14ac:dyDescent="0.35">
      <c r="A418" s="1">
        <v>417</v>
      </c>
      <c r="B418" s="1">
        <v>691</v>
      </c>
      <c r="C418" s="1" t="s">
        <v>52</v>
      </c>
      <c r="D418" s="1" t="s">
        <v>28</v>
      </c>
      <c r="E418" s="2">
        <v>58.001368925393564</v>
      </c>
      <c r="F418" s="2" t="str" cm="1">
        <f t="array" ref="F418">_xlfn.IFS(E418&lt;25,"Under 25",E418&lt;40,"Young Adulthood",E418&lt;60,"Middle Adulthood",E418&gt;=60,"Older Adulthood")</f>
        <v>Middle Adulthood</v>
      </c>
      <c r="G418" s="1" t="s">
        <v>23</v>
      </c>
      <c r="H418" s="1" t="s">
        <v>28</v>
      </c>
      <c r="I418" s="1" t="s">
        <v>28</v>
      </c>
      <c r="J418" s="1" t="s">
        <v>28</v>
      </c>
      <c r="K418" s="1" t="s">
        <v>54</v>
      </c>
      <c r="L418" s="1">
        <v>0.8</v>
      </c>
      <c r="M418" s="1">
        <v>309.5</v>
      </c>
      <c r="N418" s="1">
        <v>3.75</v>
      </c>
      <c r="O418" s="1">
        <v>73</v>
      </c>
      <c r="P418" s="1">
        <v>1259</v>
      </c>
      <c r="Q418" s="1">
        <v>114.7</v>
      </c>
      <c r="R418" s="1">
        <v>108</v>
      </c>
      <c r="S418" s="1">
        <v>269</v>
      </c>
      <c r="T418" s="1">
        <v>10.4</v>
      </c>
      <c r="U418" s="1">
        <v>3</v>
      </c>
    </row>
    <row r="419" spans="1:21" x14ac:dyDescent="0.35">
      <c r="A419" s="1">
        <v>418</v>
      </c>
      <c r="B419" s="1">
        <v>976</v>
      </c>
      <c r="C419" s="1" t="s">
        <v>52</v>
      </c>
      <c r="D419" s="1" t="s">
        <v>28</v>
      </c>
      <c r="E419" s="2">
        <v>52.999315537303218</v>
      </c>
      <c r="F419" s="2" t="str" cm="1">
        <f t="array" ref="F419">_xlfn.IFS(E419&lt;25,"Under 25",E419&lt;40,"Young Adulthood",E419&lt;60,"Middle Adulthood",E419&gt;=60,"Older Adulthood")</f>
        <v>Middle Adulthood</v>
      </c>
      <c r="G419" s="1" t="s">
        <v>23</v>
      </c>
      <c r="H419" s="1" t="s">
        <v>28</v>
      </c>
      <c r="I419" s="1" t="s">
        <v>28</v>
      </c>
      <c r="J419" s="1" t="s">
        <v>28</v>
      </c>
      <c r="K419" s="1" t="s">
        <v>54</v>
      </c>
      <c r="L419" s="1">
        <v>0.7</v>
      </c>
      <c r="M419" s="1">
        <v>309.5</v>
      </c>
      <c r="N419" s="1">
        <v>3.29</v>
      </c>
      <c r="O419" s="1">
        <v>73</v>
      </c>
      <c r="P419" s="1">
        <v>1259</v>
      </c>
      <c r="Q419" s="1">
        <v>114.7</v>
      </c>
      <c r="R419" s="1">
        <v>108</v>
      </c>
      <c r="S419" s="1">
        <v>350</v>
      </c>
      <c r="T419" s="1">
        <v>10.6</v>
      </c>
      <c r="U419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D2C-99FC-419F-AB16-E6F2ABCD89B5}">
  <dimension ref="A1:K90"/>
  <sheetViews>
    <sheetView tabSelected="1" workbookViewId="0">
      <selection activeCell="G14" sqref="G14"/>
    </sheetView>
  </sheetViews>
  <sheetFormatPr defaultRowHeight="15" x14ac:dyDescent="0.35"/>
  <cols>
    <col min="1" max="1" width="8.7265625" style="6"/>
    <col min="2" max="2" width="31.08984375" style="6" customWidth="1"/>
    <col min="3" max="3" width="18.08984375" style="6" customWidth="1"/>
    <col min="4" max="4" width="33.90625" style="6" customWidth="1"/>
    <col min="5" max="5" width="21.36328125" style="6" customWidth="1"/>
    <col min="6" max="6" width="19.7265625" style="6" customWidth="1"/>
    <col min="7" max="7" width="22.26953125" style="6" customWidth="1"/>
    <col min="8" max="8" width="19.54296875" style="6" customWidth="1"/>
    <col min="9" max="9" width="27.90625" style="6" customWidth="1"/>
    <col min="10" max="10" width="21.81640625" style="6" customWidth="1"/>
    <col min="11" max="11" width="25.81640625" style="6" customWidth="1"/>
    <col min="12" max="16384" width="8.7265625" style="6"/>
  </cols>
  <sheetData>
    <row r="1" spans="1:7" x14ac:dyDescent="0.35">
      <c r="A1" s="4" t="s">
        <v>57</v>
      </c>
      <c r="B1" s="5"/>
      <c r="C1" s="5"/>
      <c r="D1" s="5"/>
      <c r="E1" s="5"/>
      <c r="F1" s="5"/>
      <c r="G1" s="5"/>
    </row>
    <row r="2" spans="1:7" x14ac:dyDescent="0.35">
      <c r="A2" s="5"/>
      <c r="B2" s="5"/>
      <c r="C2" s="5"/>
      <c r="D2" s="5"/>
      <c r="E2" s="5"/>
      <c r="F2" s="5"/>
      <c r="G2" s="5"/>
    </row>
    <row r="3" spans="1:7" x14ac:dyDescent="0.35">
      <c r="A3" s="5"/>
      <c r="B3" s="5"/>
      <c r="C3" s="5"/>
      <c r="D3" s="5"/>
      <c r="E3" s="5"/>
      <c r="F3" s="5"/>
      <c r="G3" s="5"/>
    </row>
    <row r="5" spans="1:7" s="7" customFormat="1" ht="17.5" x14ac:dyDescent="0.35">
      <c r="A5" s="7" t="s">
        <v>29</v>
      </c>
      <c r="B5" s="8" t="s">
        <v>58</v>
      </c>
      <c r="C5" s="8"/>
      <c r="D5" s="8"/>
      <c r="E5" s="8"/>
      <c r="F5" s="8"/>
      <c r="G5" s="8"/>
    </row>
    <row r="7" spans="1:7" s="9" customFormat="1" x14ac:dyDescent="0.35">
      <c r="A7" s="9">
        <v>1</v>
      </c>
      <c r="B7" s="10" t="s">
        <v>59</v>
      </c>
      <c r="C7" s="10"/>
      <c r="D7" s="10"/>
      <c r="E7" s="10"/>
      <c r="F7" s="10"/>
      <c r="G7" s="10"/>
    </row>
    <row r="9" spans="1:7" x14ac:dyDescent="0.35">
      <c r="B9" s="13" t="s">
        <v>30</v>
      </c>
      <c r="C9" s="13" t="s">
        <v>31</v>
      </c>
      <c r="D9" s="11"/>
      <c r="E9" s="11"/>
      <c r="F9" s="11"/>
    </row>
    <row r="10" spans="1:7" x14ac:dyDescent="0.35">
      <c r="B10" s="13" t="s">
        <v>32</v>
      </c>
      <c r="C10" s="11" t="s">
        <v>52</v>
      </c>
      <c r="D10" s="11" t="s">
        <v>56</v>
      </c>
      <c r="E10" s="11" t="s">
        <v>49</v>
      </c>
      <c r="F10" s="11" t="s">
        <v>33</v>
      </c>
    </row>
    <row r="11" spans="1:7" x14ac:dyDescent="0.35">
      <c r="B11" s="11" t="s">
        <v>22</v>
      </c>
      <c r="C11" s="11">
        <v>145</v>
      </c>
      <c r="D11" s="11">
        <v>15</v>
      </c>
      <c r="E11" s="11">
        <v>101</v>
      </c>
      <c r="F11" s="11">
        <v>261</v>
      </c>
    </row>
    <row r="12" spans="1:7" x14ac:dyDescent="0.35">
      <c r="B12" s="11" t="s">
        <v>24</v>
      </c>
      <c r="C12" s="11">
        <v>41</v>
      </c>
      <c r="D12" s="11"/>
      <c r="E12" s="11">
        <v>47</v>
      </c>
      <c r="F12" s="11">
        <v>88</v>
      </c>
    </row>
    <row r="13" spans="1:7" x14ac:dyDescent="0.35">
      <c r="B13" s="11" t="s">
        <v>27</v>
      </c>
      <c r="C13" s="11">
        <v>46</v>
      </c>
      <c r="D13" s="11">
        <v>10</v>
      </c>
      <c r="E13" s="11">
        <v>13</v>
      </c>
      <c r="F13" s="11">
        <v>69</v>
      </c>
    </row>
    <row r="14" spans="1:7" x14ac:dyDescent="0.35">
      <c r="B14" s="11" t="s">
        <v>33</v>
      </c>
      <c r="C14" s="11">
        <v>232</v>
      </c>
      <c r="D14" s="11">
        <v>25</v>
      </c>
      <c r="E14" s="11">
        <v>161</v>
      </c>
      <c r="F14" s="11">
        <v>418</v>
      </c>
    </row>
    <row r="16" spans="1:7" s="9" customFormat="1" x14ac:dyDescent="0.35">
      <c r="A16" s="9">
        <v>2</v>
      </c>
      <c r="B16" s="10" t="s">
        <v>34</v>
      </c>
      <c r="C16" s="10"/>
      <c r="D16" s="10"/>
      <c r="E16" s="10"/>
      <c r="F16" s="10"/>
      <c r="G16" s="10"/>
    </row>
    <row r="18" spans="1:7" x14ac:dyDescent="0.35">
      <c r="B18" s="13" t="s">
        <v>30</v>
      </c>
      <c r="C18" s="13" t="s">
        <v>31</v>
      </c>
      <c r="D18" s="11"/>
      <c r="E18" s="11"/>
      <c r="F18" s="11"/>
    </row>
    <row r="19" spans="1:7" x14ac:dyDescent="0.35">
      <c r="B19" s="13" t="s">
        <v>35</v>
      </c>
      <c r="C19" s="11" t="s">
        <v>52</v>
      </c>
      <c r="D19" s="11" t="s">
        <v>56</v>
      </c>
      <c r="E19" s="11" t="s">
        <v>49</v>
      </c>
      <c r="F19" s="11" t="s">
        <v>33</v>
      </c>
    </row>
    <row r="20" spans="1:7" x14ac:dyDescent="0.35">
      <c r="B20" s="11" t="s">
        <v>23</v>
      </c>
      <c r="C20" s="11">
        <v>215</v>
      </c>
      <c r="D20" s="11">
        <v>22</v>
      </c>
      <c r="E20" s="11">
        <v>137</v>
      </c>
      <c r="F20" s="11">
        <v>374</v>
      </c>
    </row>
    <row r="21" spans="1:7" x14ac:dyDescent="0.35">
      <c r="B21" s="11" t="s">
        <v>25</v>
      </c>
      <c r="C21" s="11">
        <v>17</v>
      </c>
      <c r="D21" s="11">
        <v>3</v>
      </c>
      <c r="E21" s="11">
        <v>24</v>
      </c>
      <c r="F21" s="11">
        <v>44</v>
      </c>
    </row>
    <row r="22" spans="1:7" x14ac:dyDescent="0.35">
      <c r="B22" s="11" t="s">
        <v>33</v>
      </c>
      <c r="C22" s="11">
        <v>232</v>
      </c>
      <c r="D22" s="11">
        <v>25</v>
      </c>
      <c r="E22" s="11">
        <v>161</v>
      </c>
      <c r="F22" s="11">
        <v>418</v>
      </c>
    </row>
    <row r="25" spans="1:7" s="9" customFormat="1" ht="17.5" x14ac:dyDescent="0.35">
      <c r="A25" s="9" t="s">
        <v>36</v>
      </c>
      <c r="B25" s="8" t="s">
        <v>60</v>
      </c>
      <c r="C25" s="8"/>
      <c r="D25" s="8"/>
      <c r="E25" s="8"/>
      <c r="F25" s="8"/>
      <c r="G25" s="8"/>
    </row>
    <row r="27" spans="1:7" s="9" customFormat="1" x14ac:dyDescent="0.35">
      <c r="A27" s="9">
        <v>1</v>
      </c>
      <c r="B27" s="10" t="s">
        <v>61</v>
      </c>
      <c r="C27" s="10"/>
      <c r="D27" s="10"/>
      <c r="E27" s="10"/>
      <c r="F27" s="10"/>
      <c r="G27" s="10"/>
    </row>
    <row r="29" spans="1:7" x14ac:dyDescent="0.35">
      <c r="B29" s="13" t="s">
        <v>30</v>
      </c>
      <c r="C29" s="13" t="s">
        <v>31</v>
      </c>
      <c r="D29" s="11"/>
      <c r="E29" s="11"/>
      <c r="F29" s="11"/>
    </row>
    <row r="30" spans="1:7" x14ac:dyDescent="0.35">
      <c r="B30" s="13" t="s">
        <v>7</v>
      </c>
      <c r="C30" s="11" t="s">
        <v>52</v>
      </c>
      <c r="D30" s="11" t="s">
        <v>56</v>
      </c>
      <c r="E30" s="11" t="s">
        <v>49</v>
      </c>
      <c r="F30" s="11" t="s">
        <v>33</v>
      </c>
    </row>
    <row r="31" spans="1:7" x14ac:dyDescent="0.35">
      <c r="B31" s="11" t="s">
        <v>53</v>
      </c>
      <c r="C31" s="11">
        <v>167</v>
      </c>
      <c r="D31" s="11">
        <v>19</v>
      </c>
      <c r="E31" s="11">
        <v>102</v>
      </c>
      <c r="F31" s="11">
        <v>288</v>
      </c>
    </row>
    <row r="32" spans="1:7" x14ac:dyDescent="0.35">
      <c r="B32" s="11" t="s">
        <v>50</v>
      </c>
      <c r="C32" s="11">
        <v>1</v>
      </c>
      <c r="D32" s="11"/>
      <c r="E32" s="11">
        <v>23</v>
      </c>
      <c r="F32" s="11">
        <v>24</v>
      </c>
    </row>
    <row r="33" spans="1:7" x14ac:dyDescent="0.35">
      <c r="B33" s="11" t="s">
        <v>28</v>
      </c>
      <c r="C33" s="11">
        <v>64</v>
      </c>
      <c r="D33" s="11">
        <v>6</v>
      </c>
      <c r="E33" s="11">
        <v>36</v>
      </c>
      <c r="F33" s="11">
        <v>106</v>
      </c>
    </row>
    <row r="34" spans="1:7" x14ac:dyDescent="0.35">
      <c r="B34" s="11" t="s">
        <v>33</v>
      </c>
      <c r="C34" s="11">
        <v>232</v>
      </c>
      <c r="D34" s="11">
        <v>25</v>
      </c>
      <c r="E34" s="11">
        <v>161</v>
      </c>
      <c r="F34" s="11">
        <v>418</v>
      </c>
    </row>
    <row r="36" spans="1:7" s="9" customFormat="1" x14ac:dyDescent="0.35">
      <c r="A36" s="9">
        <v>2</v>
      </c>
      <c r="B36" s="10" t="s">
        <v>62</v>
      </c>
      <c r="C36" s="10"/>
      <c r="D36" s="10"/>
      <c r="E36" s="10"/>
      <c r="F36" s="10"/>
      <c r="G36" s="10"/>
    </row>
    <row r="38" spans="1:7" x14ac:dyDescent="0.35">
      <c r="B38" s="13" t="s">
        <v>30</v>
      </c>
      <c r="C38" s="13" t="s">
        <v>31</v>
      </c>
      <c r="D38" s="11"/>
      <c r="E38" s="11"/>
      <c r="F38" s="11"/>
    </row>
    <row r="39" spans="1:7" x14ac:dyDescent="0.35">
      <c r="B39" s="13" t="s">
        <v>8</v>
      </c>
      <c r="C39" s="11" t="s">
        <v>52</v>
      </c>
      <c r="D39" s="11" t="s">
        <v>56</v>
      </c>
      <c r="E39" s="11" t="s">
        <v>49</v>
      </c>
      <c r="F39" s="11" t="s">
        <v>33</v>
      </c>
    </row>
    <row r="40" spans="1:7" x14ac:dyDescent="0.35">
      <c r="B40" s="11" t="s">
        <v>53</v>
      </c>
      <c r="C40" s="11">
        <v>108</v>
      </c>
      <c r="D40" s="11">
        <v>7</v>
      </c>
      <c r="E40" s="11">
        <v>37</v>
      </c>
      <c r="F40" s="11">
        <v>152</v>
      </c>
    </row>
    <row r="41" spans="1:7" x14ac:dyDescent="0.35">
      <c r="B41" s="11" t="s">
        <v>50</v>
      </c>
      <c r="C41" s="11">
        <v>60</v>
      </c>
      <c r="D41" s="11">
        <v>12</v>
      </c>
      <c r="E41" s="11">
        <v>88</v>
      </c>
      <c r="F41" s="11">
        <v>160</v>
      </c>
    </row>
    <row r="42" spans="1:7" x14ac:dyDescent="0.35">
      <c r="B42" s="11" t="s">
        <v>28</v>
      </c>
      <c r="C42" s="11">
        <v>64</v>
      </c>
      <c r="D42" s="11">
        <v>6</v>
      </c>
      <c r="E42" s="11">
        <v>36</v>
      </c>
      <c r="F42" s="11">
        <v>106</v>
      </c>
    </row>
    <row r="43" spans="1:7" x14ac:dyDescent="0.35">
      <c r="B43" s="11" t="s">
        <v>33</v>
      </c>
      <c r="C43" s="11">
        <v>232</v>
      </c>
      <c r="D43" s="11">
        <v>25</v>
      </c>
      <c r="E43" s="11">
        <v>161</v>
      </c>
      <c r="F43" s="11">
        <v>418</v>
      </c>
    </row>
    <row r="45" spans="1:7" s="9" customFormat="1" x14ac:dyDescent="0.35">
      <c r="A45" s="9">
        <v>3</v>
      </c>
      <c r="B45" s="10" t="s">
        <v>63</v>
      </c>
      <c r="C45" s="10"/>
      <c r="D45" s="10"/>
      <c r="E45" s="10"/>
      <c r="F45" s="10"/>
      <c r="G45" s="10"/>
    </row>
    <row r="47" spans="1:7" x14ac:dyDescent="0.35">
      <c r="B47" s="13" t="s">
        <v>30</v>
      </c>
      <c r="C47" s="13" t="s">
        <v>31</v>
      </c>
      <c r="D47" s="11"/>
      <c r="E47" s="11"/>
      <c r="F47" s="11"/>
    </row>
    <row r="48" spans="1:7" x14ac:dyDescent="0.35">
      <c r="B48" s="13" t="s">
        <v>9</v>
      </c>
      <c r="C48" s="11" t="s">
        <v>52</v>
      </c>
      <c r="D48" s="11" t="s">
        <v>56</v>
      </c>
      <c r="E48" s="11" t="s">
        <v>49</v>
      </c>
      <c r="F48" s="11" t="s">
        <v>33</v>
      </c>
    </row>
    <row r="49" spans="1:7" x14ac:dyDescent="0.35">
      <c r="B49" s="11" t="s">
        <v>53</v>
      </c>
      <c r="C49" s="11">
        <v>135</v>
      </c>
      <c r="D49" s="11">
        <v>14</v>
      </c>
      <c r="E49" s="11">
        <v>73</v>
      </c>
      <c r="F49" s="11">
        <v>222</v>
      </c>
    </row>
    <row r="50" spans="1:7" x14ac:dyDescent="0.35">
      <c r="B50" s="11" t="s">
        <v>50</v>
      </c>
      <c r="C50" s="11">
        <v>33</v>
      </c>
      <c r="D50" s="11">
        <v>5</v>
      </c>
      <c r="E50" s="11">
        <v>52</v>
      </c>
      <c r="F50" s="11">
        <v>90</v>
      </c>
    </row>
    <row r="51" spans="1:7" x14ac:dyDescent="0.35">
      <c r="B51" s="11" t="s">
        <v>28</v>
      </c>
      <c r="C51" s="11">
        <v>64</v>
      </c>
      <c r="D51" s="11">
        <v>6</v>
      </c>
      <c r="E51" s="11">
        <v>36</v>
      </c>
      <c r="F51" s="11">
        <v>106</v>
      </c>
    </row>
    <row r="52" spans="1:7" x14ac:dyDescent="0.35">
      <c r="B52" s="11" t="s">
        <v>33</v>
      </c>
      <c r="C52" s="11">
        <v>232</v>
      </c>
      <c r="D52" s="11">
        <v>25</v>
      </c>
      <c r="E52" s="11">
        <v>161</v>
      </c>
      <c r="F52" s="11">
        <v>418</v>
      </c>
    </row>
    <row r="54" spans="1:7" s="9" customFormat="1" x14ac:dyDescent="0.35">
      <c r="A54" s="9">
        <v>4</v>
      </c>
      <c r="B54" s="10" t="s">
        <v>64</v>
      </c>
      <c r="C54" s="10"/>
      <c r="D54" s="10"/>
      <c r="E54" s="10"/>
      <c r="F54" s="10"/>
      <c r="G54" s="10"/>
    </row>
    <row r="56" spans="1:7" x14ac:dyDescent="0.35">
      <c r="B56" s="13" t="s">
        <v>30</v>
      </c>
      <c r="C56" s="13" t="s">
        <v>31</v>
      </c>
      <c r="D56" s="11"/>
      <c r="E56" s="11"/>
      <c r="F56" s="11"/>
    </row>
    <row r="57" spans="1:7" x14ac:dyDescent="0.35">
      <c r="B57" s="13" t="s">
        <v>10</v>
      </c>
      <c r="C57" s="11" t="s">
        <v>52</v>
      </c>
      <c r="D57" s="11" t="s">
        <v>56</v>
      </c>
      <c r="E57" s="11" t="s">
        <v>49</v>
      </c>
      <c r="F57" s="11" t="s">
        <v>33</v>
      </c>
    </row>
    <row r="58" spans="1:7" x14ac:dyDescent="0.35">
      <c r="B58" s="11" t="s">
        <v>55</v>
      </c>
      <c r="C58" s="11">
        <v>15</v>
      </c>
      <c r="D58" s="11">
        <v>3</v>
      </c>
      <c r="E58" s="11">
        <v>26</v>
      </c>
      <c r="F58" s="11">
        <v>44</v>
      </c>
    </row>
    <row r="59" spans="1:7" x14ac:dyDescent="0.35">
      <c r="B59" s="11" t="s">
        <v>51</v>
      </c>
      <c r="C59" s="11">
        <v>1</v>
      </c>
      <c r="D59" s="11"/>
      <c r="E59" s="11">
        <v>19</v>
      </c>
      <c r="F59" s="11">
        <v>20</v>
      </c>
    </row>
    <row r="60" spans="1:7" x14ac:dyDescent="0.35">
      <c r="B60" s="11" t="s">
        <v>54</v>
      </c>
      <c r="C60" s="11">
        <v>216</v>
      </c>
      <c r="D60" s="11">
        <v>22</v>
      </c>
      <c r="E60" s="11">
        <v>116</v>
      </c>
      <c r="F60" s="11">
        <v>354</v>
      </c>
    </row>
    <row r="61" spans="1:7" x14ac:dyDescent="0.35">
      <c r="B61" s="11" t="s">
        <v>33</v>
      </c>
      <c r="C61" s="11">
        <v>232</v>
      </c>
      <c r="D61" s="11">
        <v>25</v>
      </c>
      <c r="E61" s="11">
        <v>161</v>
      </c>
      <c r="F61" s="11">
        <v>418</v>
      </c>
    </row>
    <row r="63" spans="1:7" s="9" customFormat="1" x14ac:dyDescent="0.35">
      <c r="A63" s="9">
        <v>5</v>
      </c>
      <c r="B63" s="10" t="s">
        <v>65</v>
      </c>
      <c r="C63" s="10"/>
      <c r="D63" s="10"/>
      <c r="E63" s="10"/>
      <c r="F63" s="10"/>
      <c r="G63" s="10"/>
    </row>
    <row r="65" spans="1:11" x14ac:dyDescent="0.35">
      <c r="B65" s="13" t="s">
        <v>31</v>
      </c>
      <c r="C65" s="13" t="s">
        <v>37</v>
      </c>
      <c r="D65" s="11" t="s">
        <v>38</v>
      </c>
      <c r="E65" s="11" t="s">
        <v>39</v>
      </c>
      <c r="F65" s="11" t="s">
        <v>40</v>
      </c>
      <c r="G65" s="11" t="s">
        <v>41</v>
      </c>
      <c r="H65" s="11" t="s">
        <v>42</v>
      </c>
      <c r="I65" s="11" t="s">
        <v>43</v>
      </c>
      <c r="J65" s="11" t="s">
        <v>44</v>
      </c>
      <c r="K65" s="11" t="s">
        <v>45</v>
      </c>
    </row>
    <row r="66" spans="1:11" x14ac:dyDescent="0.35">
      <c r="B66" s="11" t="s">
        <v>52</v>
      </c>
      <c r="C66" s="12">
        <v>1.5758620689655176</v>
      </c>
      <c r="D66" s="12">
        <v>320.66379310344826</v>
      </c>
      <c r="E66" s="12">
        <v>3.5934913793103469</v>
      </c>
      <c r="F66" s="12">
        <v>68.400862068965523</v>
      </c>
      <c r="G66" s="12">
        <v>1490.0922413793105</v>
      </c>
      <c r="H66" s="12">
        <v>109.33120689655193</v>
      </c>
      <c r="I66" s="12">
        <v>110.46551724137932</v>
      </c>
      <c r="J66" s="12">
        <v>260.93965517241378</v>
      </c>
      <c r="K66" s="12">
        <v>10.454741379310343</v>
      </c>
    </row>
    <row r="67" spans="1:11" x14ac:dyDescent="0.35">
      <c r="B67" s="11" t="s">
        <v>56</v>
      </c>
      <c r="C67" s="12">
        <v>3.556</v>
      </c>
      <c r="D67" s="12">
        <v>403.1</v>
      </c>
      <c r="E67" s="12">
        <v>3.4876000000000005</v>
      </c>
      <c r="F67" s="12">
        <v>111.76</v>
      </c>
      <c r="G67" s="12">
        <v>1468.92</v>
      </c>
      <c r="H67" s="12">
        <v>126.41599999999995</v>
      </c>
      <c r="I67" s="12">
        <v>126.68</v>
      </c>
      <c r="J67" s="12">
        <v>309.60000000000002</v>
      </c>
      <c r="K67" s="12">
        <v>10.36</v>
      </c>
    </row>
    <row r="68" spans="1:11" x14ac:dyDescent="0.35">
      <c r="B68" s="11" t="s">
        <v>49</v>
      </c>
      <c r="C68" s="12">
        <v>5.5391304347826074</v>
      </c>
      <c r="D68" s="12">
        <v>384.73602484472048</v>
      </c>
      <c r="E68" s="12">
        <v>3.3605590062111821</v>
      </c>
      <c r="F68" s="12">
        <v>121.06832298136646</v>
      </c>
      <c r="G68" s="12">
        <v>2295.7652173913043</v>
      </c>
      <c r="H68" s="12">
        <v>135.8418633540374</v>
      </c>
      <c r="I68" s="12">
        <v>130.80124223602485</v>
      </c>
      <c r="J68" s="12">
        <v>242.80745341614906</v>
      </c>
      <c r="K68" s="12">
        <v>11.186956521739125</v>
      </c>
    </row>
    <row r="69" spans="1:11" x14ac:dyDescent="0.35">
      <c r="B69" s="11" t="s">
        <v>33</v>
      </c>
      <c r="C69" s="12">
        <v>3.220813397129187</v>
      </c>
      <c r="D69" s="12">
        <v>350.27272727272725</v>
      </c>
      <c r="E69" s="12">
        <v>3.4974401913875615</v>
      </c>
      <c r="F69" s="12">
        <v>91.279904306220089</v>
      </c>
      <c r="G69" s="12">
        <v>1799.1449760765552</v>
      </c>
      <c r="H69" s="12">
        <v>120.56406698564587</v>
      </c>
      <c r="I69" s="12">
        <v>119.26794258373205</v>
      </c>
      <c r="J69" s="12">
        <v>256.86602870813397</v>
      </c>
      <c r="K69" s="12">
        <v>10.731100478468903</v>
      </c>
    </row>
    <row r="72" spans="1:11" s="7" customFormat="1" ht="17.5" x14ac:dyDescent="0.35">
      <c r="A72" s="7" t="s">
        <v>46</v>
      </c>
      <c r="B72" s="8" t="s">
        <v>66</v>
      </c>
      <c r="C72" s="8"/>
      <c r="D72" s="8"/>
      <c r="E72" s="8"/>
      <c r="F72" s="8"/>
      <c r="G72" s="8"/>
    </row>
    <row r="74" spans="1:11" x14ac:dyDescent="0.35">
      <c r="B74" s="13" t="s">
        <v>30</v>
      </c>
      <c r="C74" s="13" t="s">
        <v>31</v>
      </c>
      <c r="D74" s="11"/>
      <c r="E74" s="11"/>
      <c r="F74" s="11"/>
    </row>
    <row r="75" spans="1:11" x14ac:dyDescent="0.35">
      <c r="B75" s="13" t="s">
        <v>20</v>
      </c>
      <c r="C75" s="11" t="s">
        <v>52</v>
      </c>
      <c r="D75" s="11" t="s">
        <v>56</v>
      </c>
      <c r="E75" s="11" t="s">
        <v>49</v>
      </c>
      <c r="F75" s="11" t="s">
        <v>33</v>
      </c>
    </row>
    <row r="76" spans="1:11" x14ac:dyDescent="0.35">
      <c r="B76" s="11">
        <v>1</v>
      </c>
      <c r="C76" s="11">
        <v>19</v>
      </c>
      <c r="D76" s="11"/>
      <c r="E76" s="11">
        <v>2</v>
      </c>
      <c r="F76" s="11">
        <v>21</v>
      </c>
    </row>
    <row r="77" spans="1:11" x14ac:dyDescent="0.35">
      <c r="B77" s="11">
        <v>2</v>
      </c>
      <c r="C77" s="11">
        <v>64</v>
      </c>
      <c r="D77" s="11">
        <v>5</v>
      </c>
      <c r="E77" s="11">
        <v>23</v>
      </c>
      <c r="F77" s="11">
        <v>92</v>
      </c>
    </row>
    <row r="78" spans="1:11" x14ac:dyDescent="0.35">
      <c r="B78" s="11">
        <v>3</v>
      </c>
      <c r="C78" s="11">
        <v>99</v>
      </c>
      <c r="D78" s="11">
        <v>10</v>
      </c>
      <c r="E78" s="11">
        <v>52</v>
      </c>
      <c r="F78" s="11">
        <v>161</v>
      </c>
    </row>
    <row r="79" spans="1:11" x14ac:dyDescent="0.35">
      <c r="B79" s="11">
        <v>4</v>
      </c>
      <c r="C79" s="11">
        <v>50</v>
      </c>
      <c r="D79" s="11">
        <v>10</v>
      </c>
      <c r="E79" s="11">
        <v>84</v>
      </c>
      <c r="F79" s="11">
        <v>144</v>
      </c>
    </row>
    <row r="80" spans="1:11" x14ac:dyDescent="0.35">
      <c r="B80" s="11" t="s">
        <v>33</v>
      </c>
      <c r="C80" s="11">
        <v>232</v>
      </c>
      <c r="D80" s="11">
        <v>25</v>
      </c>
      <c r="E80" s="11">
        <v>161</v>
      </c>
      <c r="F80" s="11">
        <v>418</v>
      </c>
    </row>
    <row r="83" spans="1:7" s="7" customFormat="1" ht="17.5" x14ac:dyDescent="0.35">
      <c r="A83" s="7" t="s">
        <v>47</v>
      </c>
      <c r="B83" s="8" t="s">
        <v>67</v>
      </c>
      <c r="C83" s="8"/>
      <c r="D83" s="8"/>
      <c r="E83" s="8"/>
      <c r="F83" s="8"/>
      <c r="G83" s="8"/>
    </row>
    <row r="85" spans="1:7" x14ac:dyDescent="0.35">
      <c r="B85" s="13" t="s">
        <v>30</v>
      </c>
      <c r="C85" s="13" t="s">
        <v>31</v>
      </c>
      <c r="D85" s="11"/>
      <c r="E85" s="11"/>
      <c r="F85" s="11"/>
    </row>
    <row r="86" spans="1:7" x14ac:dyDescent="0.35">
      <c r="B86" s="13" t="s">
        <v>48</v>
      </c>
      <c r="C86" s="11" t="s">
        <v>52</v>
      </c>
      <c r="D86" s="11" t="s">
        <v>56</v>
      </c>
      <c r="E86" s="11" t="s">
        <v>49</v>
      </c>
      <c r="F86" s="11" t="s">
        <v>33</v>
      </c>
    </row>
    <row r="87" spans="1:7" x14ac:dyDescent="0.35">
      <c r="B87" s="11" t="s">
        <v>21</v>
      </c>
      <c r="C87" s="11">
        <v>83</v>
      </c>
      <c r="D87" s="11">
        <v>10</v>
      </c>
      <c r="E87" s="11">
        <v>65</v>
      </c>
      <c r="F87" s="11">
        <v>158</v>
      </c>
    </row>
    <row r="88" spans="1:7" x14ac:dyDescent="0.35">
      <c r="B88" s="11" t="s">
        <v>26</v>
      </c>
      <c r="C88" s="11">
        <v>85</v>
      </c>
      <c r="D88" s="11">
        <v>9</v>
      </c>
      <c r="E88" s="11">
        <v>60</v>
      </c>
      <c r="F88" s="11">
        <v>154</v>
      </c>
    </row>
    <row r="89" spans="1:7" x14ac:dyDescent="0.35">
      <c r="B89" s="11" t="s">
        <v>28</v>
      </c>
      <c r="C89" s="11">
        <v>64</v>
      </c>
      <c r="D89" s="11">
        <v>6</v>
      </c>
      <c r="E89" s="11">
        <v>36</v>
      </c>
      <c r="F89" s="11">
        <v>106</v>
      </c>
    </row>
    <row r="90" spans="1:7" x14ac:dyDescent="0.35">
      <c r="B90" s="11" t="s">
        <v>33</v>
      </c>
      <c r="C90" s="11">
        <v>232</v>
      </c>
      <c r="D90" s="11">
        <v>25</v>
      </c>
      <c r="E90" s="11">
        <v>161</v>
      </c>
      <c r="F90" s="11">
        <v>418</v>
      </c>
    </row>
  </sheetData>
  <mergeCells count="12">
    <mergeCell ref="B36:G36"/>
    <mergeCell ref="B45:G45"/>
    <mergeCell ref="B54:G54"/>
    <mergeCell ref="B63:G63"/>
    <mergeCell ref="B72:G72"/>
    <mergeCell ref="B83:G83"/>
    <mergeCell ref="A1:G3"/>
    <mergeCell ref="B5:G5"/>
    <mergeCell ref="B7:G7"/>
    <mergeCell ref="B16:G16"/>
    <mergeCell ref="B25:G25"/>
    <mergeCell ref="B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priya</dc:creator>
  <cp:lastModifiedBy>lakshmi priya</cp:lastModifiedBy>
  <dcterms:created xsi:type="dcterms:W3CDTF">2026-09-07T03:13:21Z</dcterms:created>
  <dcterms:modified xsi:type="dcterms:W3CDTF">2026-09-08T00:04:20Z</dcterms:modified>
</cp:coreProperties>
</file>